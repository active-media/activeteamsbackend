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EN" sheetId="1" state="visible" r:id="rId3"/>
    <sheet name="GUIDE STATE MEN" sheetId="2" state="visible" r:id="rId4"/>
    <sheet name="GUIDE STATE FOR MEN" sheetId="3" state="visible" r:id="rId5"/>
    <sheet name="WOMEN" sheetId="4" state="visible" r:id="rId6"/>
    <sheet name="GUIDE STATE WOMEN" sheetId="5" state="visible" r:id="rId7"/>
    <sheet name="GUIDE STATE FOR WOMEN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<sst xmlns="http://schemas.openxmlformats.org/spreadsheetml/2006/main" count="263" uniqueCount="57">
  <si>
    <t xml:space="preserve">Name</t>
  </si>
  <si>
    <t xml:space="preserve">Leader at 12</t>
  </si>
  <si>
    <t xml:space="preserve">Leader at 144</t>
  </si>
  <si>
    <t xml:space="preserve">Registration Type</t>
  </si>
  <si>
    <t xml:space="preserve">WEEK 1</t>
  </si>
  <si>
    <t xml:space="preserve">WEEK 2</t>
  </si>
  <si>
    <t xml:space="preserve">WEEK 3</t>
  </si>
  <si>
    <t xml:space="preserve">WEEK 4</t>
  </si>
  <si>
    <t xml:space="preserve">ENCOUNTER</t>
  </si>
  <si>
    <t xml:space="preserve">WEEK 5</t>
  </si>
  <si>
    <t xml:space="preserve">WEEK 6</t>
  </si>
  <si>
    <t xml:space="preserve">WEEK 7</t>
  </si>
  <si>
    <t xml:space="preserve">WEEK 8</t>
  </si>
  <si>
    <t xml:space="preserve">TOTAL</t>
  </si>
  <si>
    <t xml:space="preserve">Effective Guide</t>
  </si>
  <si>
    <t xml:space="preserve">ZZTEST John Leader</t>
  </si>
  <si>
    <t xml:space="preserve">Guide</t>
  </si>
  <si>
    <t xml:space="preserve">X</t>
  </si>
  <si>
    <t xml:space="preserve">ZZTEST Mike Guide</t>
  </si>
  <si>
    <t xml:space="preserve">ZZTEST Steve Delegate</t>
  </si>
  <si>
    <t xml:space="preserve">Delegate: First Time</t>
  </si>
  <si>
    <t xml:space="preserve">ZZTEST Tom Delegate</t>
  </si>
  <si>
    <t xml:space="preserve">Delegate: Second Time</t>
  </si>
  <si>
    <t xml:space="preserve">ZZTEST Second Leader</t>
  </si>
  <si>
    <t xml:space="preserve">ZZTEST Alex Delegate</t>
  </si>
  <si>
    <t xml:space="preserve">ZZTEST Nina Delegate</t>
  </si>
  <si>
    <t xml:space="preserve">ZZTEST Priya Delegate</t>
  </si>
  <si>
    <t xml:space="preserve">WEEKLY TOTAL</t>
  </si>
  <si>
    <t xml:space="preserve">LEADER @12 STATS</t>
  </si>
  <si>
    <t xml:space="preserve">Leader @12</t>
  </si>
  <si>
    <t xml:space="preserve">Total</t>
  </si>
  <si>
    <t xml:space="preserve">Leader</t>
  </si>
  <si>
    <t xml:space="preserve">Delegate W1</t>
  </si>
  <si>
    <t xml:space="preserve">Delegate W2</t>
  </si>
  <si>
    <t xml:space="preserve">Delegate W3</t>
  </si>
  <si>
    <t xml:space="preserve">Delegate W4</t>
  </si>
  <si>
    <t xml:space="preserve">Delegate W5</t>
  </si>
  <si>
    <t xml:space="preserve">Delegate W6</t>
  </si>
  <si>
    <t xml:space="preserve">Delegate W7</t>
  </si>
  <si>
    <t xml:space="preserve">Delegate W8</t>
  </si>
  <si>
    <t xml:space="preserve">WEEK 1 DELEGATES</t>
  </si>
  <si>
    <t xml:space="preserve">WEEK 2 DELEGATES</t>
  </si>
  <si>
    <t xml:space="preserve">WEEK 3 DELEGATES</t>
  </si>
  <si>
    <t xml:space="preserve">WEEK 4 DELEGATES</t>
  </si>
  <si>
    <t xml:space="preserve">ENCOUNTER DELEGATES</t>
  </si>
  <si>
    <t xml:space="preserve">Guides</t>
  </si>
  <si>
    <t xml:space="preserve">First Time</t>
  </si>
  <si>
    <t xml:space="preserve">Second Time</t>
  </si>
  <si>
    <t xml:space="preserve">WEEK 5 DELEGATES</t>
  </si>
  <si>
    <t xml:space="preserve">WEEK 6 DELEGATES</t>
  </si>
  <si>
    <t xml:space="preserve">WEEK 7 DELEGATES</t>
  </si>
  <si>
    <t xml:space="preserve">WEEK 8 DELEGATES</t>
  </si>
  <si>
    <t xml:space="preserve">Leader 12</t>
  </si>
  <si>
    <t xml:space="preserve">ZZTEST Mary Leader</t>
  </si>
  <si>
    <t xml:space="preserve">ZZTEST Grace Guide</t>
  </si>
  <si>
    <t xml:space="preserve">ZZTEST Sarah Delegate</t>
  </si>
  <si>
    <t xml:space="preserve">ZZTEST Ruth Delegate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</si>
</sst>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C7CE"/>
        <bgColor rgb="FFFCE4D6"/>
      </patternFill>
    </fill>
    <fill>
      <patternFill patternType="solid">
        <fgColor rgb="FFC6EFCE"/>
        <bgColor rgb="FFD9E1F2"/>
      </patternFill>
    </fill>
    <fill>
      <patternFill patternType="solid">
        <fgColor rgb="FFFCE4D6"/>
        <bgColor rgb="FFD9E1F2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0"/>
    <col collapsed="false" customWidth="true" hidden="false" outlineLevel="0" max="4" min="4" style="0" width="22"/>
    <col collapsed="false" customWidth="true" hidden="false" outlineLevel="0" max="14" min="5" style="0" width="9"/>
    <col collapsed="false" customWidth="true" hidden="true" outlineLevel="0" max="15" min="15" style="0" width="2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15</v>
      </c>
      <c r="B2" s="2"/>
      <c r="C2" s="2"/>
      <c r="D2" s="3" t="s">
        <v>16</v>
      </c>
      <c r="E2" s="4" t="s">
        <v>17</v>
      </c>
      <c r="F2" s="4" t="s">
        <v>17</v>
      </c>
      <c r="G2" s="4" t="s">
        <v>17</v>
      </c>
      <c r="H2" s="4" t="s">
        <v>17</v>
      </c>
      <c r="I2" s="4" t="s">
        <v>17</v>
      </c>
      <c r="J2" s="4" t="s">
        <v>17</v>
      </c>
      <c r="K2" s="4" t="s">
        <v>17</v>
      </c>
      <c r="L2" s="4" t="s">
        <v>17</v>
      </c>
      <c r="M2" s="4" t="s">
        <v>17</v>
      </c>
      <c r="N2" s="5" t="n">
        <f aca="false">COUNTIF(E2:M2,"X")</f>
        <v>9</v>
      </c>
      <c r="O2" s="2" t="n">
        <f aca="false">IF(C2="",B2,C2)</f>
        <v>0</v>
      </c>
    </row>
    <row r="3" customFormat="false" ht="15" hidden="false" customHeight="false" outlineLevel="0" collapsed="false">
      <c r="A3" s="2" t="s">
        <v>18</v>
      </c>
      <c r="B3" s="2" t="s">
        <v>15</v>
      </c>
      <c r="C3" s="2"/>
      <c r="D3" s="3" t="s">
        <v>16</v>
      </c>
      <c r="E3" s="4" t="s">
        <v>17</v>
      </c>
      <c r="F3" s="4" t="s">
        <v>17</v>
      </c>
      <c r="G3" s="4" t="s">
        <v>17</v>
      </c>
      <c r="H3" s="4"/>
      <c r="I3" s="4"/>
      <c r="J3" s="4"/>
      <c r="K3" s="4"/>
      <c r="L3" s="4"/>
      <c r="M3" s="4"/>
      <c r="N3" s="5" t="n">
        <f aca="false">COUNTIF(E3:M3,"X")</f>
        <v>3</v>
      </c>
      <c r="O3" s="2" t="str">
        <f aca="false">IF(C3="",B3,C3)</f>
        <v>ZZTEST John Leader</v>
      </c>
    </row>
    <row r="4" customFormat="false" ht="15" hidden="false" customHeight="false" outlineLevel="0" collapsed="false">
      <c r="A4" s="2" t="s">
        <v>19</v>
      </c>
      <c r="B4" s="2" t="s">
        <v>15</v>
      </c>
      <c r="C4" s="2" t="s">
        <v>18</v>
      </c>
      <c r="D4" s="6" t="s">
        <v>20</v>
      </c>
      <c r="E4" s="4" t="s">
        <v>17</v>
      </c>
      <c r="F4" s="4" t="s">
        <v>17</v>
      </c>
      <c r="G4" s="4"/>
      <c r="H4" s="4"/>
      <c r="I4" s="4"/>
      <c r="J4" s="4"/>
      <c r="K4" s="4"/>
      <c r="L4" s="4"/>
      <c r="M4" s="4"/>
      <c r="N4" s="5" t="n">
        <f aca="false">COUNTIF(E4:M4,"X")</f>
        <v>2</v>
      </c>
      <c r="O4" s="2" t="str">
        <f aca="false">IF(C4="",B4,C4)</f>
        <v>ZZTEST Mike Guide</v>
      </c>
    </row>
    <row r="5" customFormat="false" ht="15" hidden="false" customHeight="false" outlineLevel="0" collapsed="false">
      <c r="A5" s="2" t="s">
        <v>21</v>
      </c>
      <c r="B5" s="2" t="s">
        <v>15</v>
      </c>
      <c r="C5" s="2" t="s">
        <v>18</v>
      </c>
      <c r="D5" s="7" t="s">
        <v>22</v>
      </c>
      <c r="E5" s="4"/>
      <c r="F5" s="4"/>
      <c r="G5" s="4" t="s">
        <v>17</v>
      </c>
      <c r="H5" s="4" t="s">
        <v>17</v>
      </c>
      <c r="I5" s="4"/>
      <c r="J5" s="4"/>
      <c r="K5" s="4"/>
      <c r="L5" s="4"/>
      <c r="M5" s="4"/>
      <c r="N5" s="5" t="n">
        <f aca="false">COUNTIF(E5:M5,"X")</f>
        <v>2</v>
      </c>
      <c r="O5" s="2" t="str">
        <f aca="false">IF(C5="",B5,C5)</f>
        <v>ZZTEST Mike Guide</v>
      </c>
    </row>
    <row r="6" customFormat="false" ht="15" hidden="false" customHeight="false" outlineLevel="0" collapsed="false">
      <c r="A6" s="2" t="s">
        <v>23</v>
      </c>
      <c r="B6" s="2"/>
      <c r="C6" s="2"/>
      <c r="D6" s="3" t="s">
        <v>16</v>
      </c>
      <c r="E6" s="4" t="s">
        <v>17</v>
      </c>
      <c r="F6" s="4" t="s">
        <v>17</v>
      </c>
      <c r="G6" s="4" t="s">
        <v>17</v>
      </c>
      <c r="H6" s="4" t="s">
        <v>17</v>
      </c>
      <c r="I6" s="4" t="s">
        <v>17</v>
      </c>
      <c r="J6" s="4" t="s">
        <v>17</v>
      </c>
      <c r="K6" s="4" t="s">
        <v>17</v>
      </c>
      <c r="L6" s="4" t="s">
        <v>17</v>
      </c>
      <c r="M6" s="4" t="s">
        <v>17</v>
      </c>
      <c r="N6" s="5" t="n">
        <f aca="false">COUNTIF(E6:M6,"X")</f>
        <v>9</v>
      </c>
      <c r="O6" s="2" t="n">
        <f aca="false">IF(C6="",B6,C6)</f>
        <v>0</v>
      </c>
    </row>
    <row r="7" customFormat="false" ht="15" hidden="false" customHeight="false" outlineLevel="0" collapsed="false">
      <c r="A7" s="2" t="s">
        <v>24</v>
      </c>
      <c r="B7" s="2" t="s">
        <v>23</v>
      </c>
      <c r="C7" s="2"/>
      <c r="D7" s="6" t="s">
        <v>20</v>
      </c>
      <c r="E7" s="4" t="s">
        <v>17</v>
      </c>
      <c r="F7" s="4"/>
      <c r="G7" s="4"/>
      <c r="H7" s="4"/>
      <c r="I7" s="4" t="s">
        <v>17</v>
      </c>
      <c r="J7" s="4"/>
      <c r="K7" s="4"/>
      <c r="L7" s="4"/>
      <c r="M7" s="4"/>
      <c r="N7" s="5" t="n">
        <f aca="false">COUNTIF(E7:M7,"X")</f>
        <v>2</v>
      </c>
      <c r="O7" s="2" t="str">
        <f aca="false">IF(C7="",B7,C7)</f>
        <v>ZZTEST Second Leader</v>
      </c>
    </row>
    <row r="8" customFormat="false" ht="15" hidden="false" customHeight="false" outlineLevel="0" collapsed="false">
      <c r="A8" s="2" t="s">
        <v>25</v>
      </c>
      <c r="B8" s="2" t="s">
        <v>23</v>
      </c>
      <c r="C8" s="2"/>
      <c r="D8" s="3" t="s">
        <v>16</v>
      </c>
      <c r="E8" s="4"/>
      <c r="F8" s="4"/>
      <c r="G8" s="4"/>
      <c r="H8" s="4"/>
      <c r="I8" s="4" t="s">
        <v>17</v>
      </c>
      <c r="J8" s="4" t="s">
        <v>17</v>
      </c>
      <c r="K8" s="4" t="s">
        <v>17</v>
      </c>
      <c r="L8" s="4" t="s">
        <v>17</v>
      </c>
      <c r="M8" s="4"/>
      <c r="N8" s="5" t="n">
        <f aca="false">COUNTIF(E8:M8,"X")</f>
        <v>4</v>
      </c>
      <c r="O8" s="2" t="str">
        <f aca="false">IF(C8="",B8,C8)</f>
        <v>ZZTEST Second Leader</v>
      </c>
    </row>
    <row r="9" customFormat="false" ht="15" hidden="false" customHeight="false" outlineLevel="0" collapsed="false">
      <c r="A9" s="2" t="s">
        <v>26</v>
      </c>
      <c r="B9" s="2" t="s">
        <v>23</v>
      </c>
      <c r="C9" s="2" t="s">
        <v>25</v>
      </c>
      <c r="D9" s="7" t="s">
        <v>22</v>
      </c>
      <c r="E9" s="4"/>
      <c r="F9" s="4"/>
      <c r="G9" s="4"/>
      <c r="H9" s="4"/>
      <c r="I9" s="4"/>
      <c r="J9" s="4" t="s">
        <v>17</v>
      </c>
      <c r="K9" s="4" t="s">
        <v>17</v>
      </c>
      <c r="L9" s="4"/>
      <c r="M9" s="4"/>
      <c r="N9" s="5" t="n">
        <f aca="false">COUNTIF(E9:M9,"X")</f>
        <v>2</v>
      </c>
      <c r="O9" s="2" t="str">
        <f aca="false">IF(C9="",B9,C9)</f>
        <v>ZZTEST Nina Delegate</v>
      </c>
    </row>
    <row r="10" customFormat="false" ht="15" hidden="false" customHeight="false" outlineLevel="0" collapsed="false">
      <c r="D10" s="8" t="s">
        <v>27</v>
      </c>
      <c r="E10" s="9" t="n">
        <f aca="false">COUNTIF(E2:E9,"X")</f>
        <v>5</v>
      </c>
      <c r="F10" s="9" t="n">
        <f aca="false">COUNTIF(F2:F9,"X")</f>
        <v>4</v>
      </c>
      <c r="G10" s="9" t="n">
        <f aca="false">COUNTIF(G2:G9,"X")</f>
        <v>4</v>
      </c>
      <c r="H10" s="9" t="n">
        <f aca="false">COUNTIF(H2:H9,"X")</f>
        <v>3</v>
      </c>
      <c r="I10" s="9" t="n">
        <f aca="false">COUNTIF(I2:I9,"X")</f>
        <v>4</v>
      </c>
      <c r="J10" s="9" t="n">
        <f aca="false">COUNTIF(J2:J9,"X")</f>
        <v>4</v>
      </c>
      <c r="K10" s="9" t="n">
        <f aca="false">COUNTIF(K2:K9,"X")</f>
        <v>4</v>
      </c>
      <c r="L10" s="9" t="n">
        <f aca="false">COUNTIF(L2:L9,"X")</f>
        <v>3</v>
      </c>
      <c r="M10" s="9" t="n">
        <f aca="false">COUNTIF(M2:M9,"X")</f>
        <v>2</v>
      </c>
      <c r="N10" s="10" t="n">
        <f aca="false">SUM(E10:M10)</f>
        <v>33</v>
      </c>
    </row>
    <row r="13" customFormat="false" ht="15" hidden="false" customHeight="false" outlineLevel="0" collapsed="false">
      <c r="D13" s="11" t="s">
        <v>28</v>
      </c>
    </row>
    <row r="14" customFormat="false" ht="15" hidden="false" customHeight="false" outlineLevel="0" collapsed="false">
      <c r="D14" s="1" t="s">
        <v>29</v>
      </c>
      <c r="E14" s="1" t="s">
        <v>4</v>
      </c>
      <c r="F14" s="1" t="s">
        <v>5</v>
      </c>
      <c r="G14" s="1" t="s">
        <v>6</v>
      </c>
      <c r="H14" s="1" t="s">
        <v>7</v>
      </c>
      <c r="I14" s="1" t="s">
        <v>8</v>
      </c>
      <c r="J14" s="1" t="s">
        <v>9</v>
      </c>
      <c r="K14" s="1" t="s">
        <v>10</v>
      </c>
      <c r="L14" s="1" t="s">
        <v>11</v>
      </c>
      <c r="M14" s="1" t="s">
        <v>12</v>
      </c>
      <c r="N14" s="1" t="s">
        <v>30</v>
      </c>
    </row>
    <row r="15" customFormat="false" ht="15" hidden="false" customHeight="false" outlineLevel="0" collapsed="false">
      <c r="D15" s="2" t="s">
        <v>15</v>
      </c>
      <c r="E15" s="4" t="n">
        <f aca="false">COUNTIFS($B$2:$B$9,$D15,E$2:E$9,"X")</f>
        <v>2</v>
      </c>
      <c r="F15" s="4" t="n">
        <f aca="false">COUNTIFS($B$2:$B$9,$D15,F$2:F$9,"X")</f>
        <v>2</v>
      </c>
      <c r="G15" s="4" t="n">
        <f aca="false">COUNTIFS($B$2:$B$9,$D15,G$2:G$9,"X")</f>
        <v>2</v>
      </c>
      <c r="H15" s="4" t="n">
        <f aca="false">COUNTIFS($B$2:$B$9,$D15,H$2:H$9,"X")</f>
        <v>1</v>
      </c>
      <c r="I15" s="4" t="n">
        <f aca="false">COUNTIFS($B$2:$B$9,$D15,I$2:I$9,"X")</f>
        <v>0</v>
      </c>
      <c r="J15" s="4" t="n">
        <f aca="false">COUNTIFS($B$2:$B$9,$D15,J$2:J$9,"X")</f>
        <v>0</v>
      </c>
      <c r="K15" s="4" t="n">
        <f aca="false">COUNTIFS($B$2:$B$9,$D15,K$2:K$9,"X")</f>
        <v>0</v>
      </c>
      <c r="L15" s="4" t="n">
        <f aca="false">COUNTIFS($B$2:$B$9,$D15,L$2:L$9,"X")</f>
        <v>0</v>
      </c>
      <c r="M15" s="4" t="n">
        <f aca="false">COUNTIFS($B$2:$B$9,$D15,M$2:M$9,"X")</f>
        <v>0</v>
      </c>
      <c r="N15" s="12" t="n">
        <f aca="false">SUM(E15:M15)</f>
        <v>7</v>
      </c>
    </row>
    <row r="16" customFormat="false" ht="15" hidden="false" customHeight="false" outlineLevel="0" collapsed="false">
      <c r="D16" s="2" t="s">
        <v>23</v>
      </c>
      <c r="E16" s="4" t="n">
        <f aca="false">COUNTIFS($B$2:$B$9,$D16,E$2:E$9,"X")</f>
        <v>1</v>
      </c>
      <c r="F16" s="4" t="n">
        <f aca="false">COUNTIFS($B$2:$B$9,$D16,F$2:F$9,"X")</f>
        <v>0</v>
      </c>
      <c r="G16" s="4" t="n">
        <f aca="false">COUNTIFS($B$2:$B$9,$D16,G$2:G$9,"X")</f>
        <v>0</v>
      </c>
      <c r="H16" s="4" t="n">
        <f aca="false">COUNTIFS($B$2:$B$9,$D16,H$2:H$9,"X")</f>
        <v>0</v>
      </c>
      <c r="I16" s="4" t="n">
        <f aca="false">COUNTIFS($B$2:$B$9,$D16,I$2:I$9,"X")</f>
        <v>2</v>
      </c>
      <c r="J16" s="4" t="n">
        <f aca="false">COUNTIFS($B$2:$B$9,$D16,J$2:J$9,"X")</f>
        <v>2</v>
      </c>
      <c r="K16" s="4" t="n">
        <f aca="false">COUNTIFS($B$2:$B$9,$D16,K$2:K$9,"X")</f>
        <v>2</v>
      </c>
      <c r="L16" s="4" t="n">
        <f aca="false">COUNTIFS($B$2:$B$9,$D16,L$2:L$9,"X")</f>
        <v>1</v>
      </c>
      <c r="M16" s="4" t="n">
        <f aca="false">COUNTIFS($B$2:$B$9,$D16,M$2:M$9,"X")</f>
        <v>0</v>
      </c>
      <c r="N16" s="12" t="n">
        <f aca="false">SUM(E16:M16)</f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11" min="3" style="0" width="11"/>
  </cols>
  <sheetData>
    <row r="1" customFormat="false" ht="15" hidden="false" customHeight="false" outlineLevel="0" collapsed="false">
      <c r="A1" s="1" t="s">
        <v>31</v>
      </c>
      <c r="B1" s="1" t="s">
        <v>16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8</v>
      </c>
      <c r="H1" s="1" t="s">
        <v>36</v>
      </c>
      <c r="I1" s="1" t="s">
        <v>37</v>
      </c>
      <c r="J1" s="1" t="s">
        <v>38</v>
      </c>
      <c r="K1" s="1" t="s">
        <v>39</v>
      </c>
    </row>
    <row r="2" customFormat="false" ht="15" hidden="false" customHeight="false" outlineLevel="0" collapsed="false">
      <c r="A2" s="5" t="s">
        <v>15</v>
      </c>
      <c r="B2" s="2" t="s">
        <v>15</v>
      </c>
      <c r="C2" s="4" t="n">
        <f aca="false">COUNTIFS(MEN!$O$2:$O$9,$B2,MEN!$E$2:$E$9,"X")</f>
        <v>1</v>
      </c>
      <c r="D2" s="4" t="n">
        <f aca="false">COUNTIFS(MEN!$O$2:$O$9,$B2,MEN!$F$2:$F$9,"X")</f>
        <v>1</v>
      </c>
      <c r="E2" s="4" t="n">
        <f aca="false">COUNTIFS(MEN!$O$2:$O$9,$B2,MEN!$G$2:$G$9,"X")</f>
        <v>1</v>
      </c>
      <c r="F2" s="4" t="n">
        <f aca="false">COUNTIFS(MEN!$O$2:$O$9,$B2,MEN!$H$2:$H$9,"X")</f>
        <v>0</v>
      </c>
      <c r="G2" s="4" t="n">
        <f aca="false">COUNTIFS(MEN!$O$2:$O$9,$B2,MEN!$I$2:$I$9,"X")</f>
        <v>0</v>
      </c>
      <c r="H2" s="4" t="n">
        <f aca="false">COUNTIFS(MEN!$O$2:$O$9,$B2,MEN!$J$2:$J$9,"X")</f>
        <v>0</v>
      </c>
      <c r="I2" s="4" t="n">
        <f aca="false">COUNTIFS(MEN!$O$2:$O$9,$B2,MEN!$K$2:$K$9,"X")</f>
        <v>0</v>
      </c>
      <c r="J2" s="4" t="n">
        <f aca="false">COUNTIFS(MEN!$O$2:$O$9,$B2,MEN!$L$2:$L$9,"X")</f>
        <v>0</v>
      </c>
      <c r="K2" s="4" t="n">
        <f aca="false">COUNTIFS(MEN!$O$2:$O$9,$B2,MEN!$M$2:$M$9,"X")</f>
        <v>0</v>
      </c>
    </row>
    <row r="3" customFormat="false" ht="15" hidden="false" customHeight="false" outlineLevel="0" collapsed="false">
      <c r="A3" s="5"/>
      <c r="B3" s="2" t="s">
        <v>18</v>
      </c>
      <c r="C3" s="4" t="n">
        <f aca="false">COUNTIFS(MEN!$O$2:$O$9,$B3,MEN!$E$2:$E$9,"X")</f>
        <v>1</v>
      </c>
      <c r="D3" s="4" t="n">
        <f aca="false">COUNTIFS(MEN!$O$2:$O$9,$B3,MEN!$F$2:$F$9,"X")</f>
        <v>1</v>
      </c>
      <c r="E3" s="4" t="n">
        <f aca="false">COUNTIFS(MEN!$O$2:$O$9,$B3,MEN!$G$2:$G$9,"X")</f>
        <v>1</v>
      </c>
      <c r="F3" s="4" t="n">
        <f aca="false">COUNTIFS(MEN!$O$2:$O$9,$B3,MEN!$H$2:$H$9,"X")</f>
        <v>1</v>
      </c>
      <c r="G3" s="4" t="n">
        <f aca="false">COUNTIFS(MEN!$O$2:$O$9,$B3,MEN!$I$2:$I$9,"X")</f>
        <v>0</v>
      </c>
      <c r="H3" s="4" t="n">
        <f aca="false">COUNTIFS(MEN!$O$2:$O$9,$B3,MEN!$J$2:$J$9,"X")</f>
        <v>0</v>
      </c>
      <c r="I3" s="4" t="n">
        <f aca="false">COUNTIFS(MEN!$O$2:$O$9,$B3,MEN!$K$2:$K$9,"X")</f>
        <v>0</v>
      </c>
      <c r="J3" s="4" t="n">
        <f aca="false">COUNTIFS(MEN!$O$2:$O$9,$B3,MEN!$L$2:$L$9,"X")</f>
        <v>0</v>
      </c>
      <c r="K3" s="4" t="n">
        <f aca="false">COUNTIFS(MEN!$O$2:$O$9,$B3,MEN!$M$2:$M$9,"X")</f>
        <v>0</v>
      </c>
    </row>
    <row r="4" customFormat="false" ht="15" hidden="false" customHeight="false" outlineLevel="0" collapsed="false">
      <c r="A4" s="5" t="s">
        <v>23</v>
      </c>
      <c r="B4" s="2" t="s">
        <v>23</v>
      </c>
      <c r="C4" s="4" t="n">
        <f aca="false">COUNTIFS(MEN!$O$2:$O$9,$B4,MEN!$E$2:$E$9,"X")</f>
        <v>1</v>
      </c>
      <c r="D4" s="4" t="n">
        <f aca="false">COUNTIFS(MEN!$O$2:$O$9,$B4,MEN!$F$2:$F$9,"X")</f>
        <v>0</v>
      </c>
      <c r="E4" s="4" t="n">
        <f aca="false">COUNTIFS(MEN!$O$2:$O$9,$B4,MEN!$G$2:$G$9,"X")</f>
        <v>0</v>
      </c>
      <c r="F4" s="4" t="n">
        <f aca="false">COUNTIFS(MEN!$O$2:$O$9,$B4,MEN!$H$2:$H$9,"X")</f>
        <v>0</v>
      </c>
      <c r="G4" s="4" t="n">
        <f aca="false">COUNTIFS(MEN!$O$2:$O$9,$B4,MEN!$I$2:$I$9,"X")</f>
        <v>2</v>
      </c>
      <c r="H4" s="4" t="n">
        <f aca="false">COUNTIFS(MEN!$O$2:$O$9,$B4,MEN!$J$2:$J$9,"X")</f>
        <v>1</v>
      </c>
      <c r="I4" s="4" t="n">
        <f aca="false">COUNTIFS(MEN!$O$2:$O$9,$B4,MEN!$K$2:$K$9,"X")</f>
        <v>1</v>
      </c>
      <c r="J4" s="4" t="n">
        <f aca="false">COUNTIFS(MEN!$O$2:$O$9,$B4,MEN!$L$2:$L$9,"X")</f>
        <v>1</v>
      </c>
      <c r="K4" s="4" t="n">
        <f aca="false">COUNTIFS(MEN!$O$2:$O$9,$B4,MEN!$M$2:$M$9,"X")</f>
        <v>0</v>
      </c>
    </row>
    <row r="5" customFormat="false" ht="15" hidden="false" customHeight="false" outlineLevel="0" collapsed="false">
      <c r="A5" s="5"/>
      <c r="B5" s="2" t="s">
        <v>25</v>
      </c>
      <c r="C5" s="4" t="n">
        <f aca="false">COUNTIFS(MEN!$O$2:$O$9,$B5,MEN!$E$2:$E$9,"X")</f>
        <v>0</v>
      </c>
      <c r="D5" s="4" t="n">
        <f aca="false">COUNTIFS(MEN!$O$2:$O$9,$B5,MEN!$F$2:$F$9,"X")</f>
        <v>0</v>
      </c>
      <c r="E5" s="4" t="n">
        <f aca="false">COUNTIFS(MEN!$O$2:$O$9,$B5,MEN!$G$2:$G$9,"X")</f>
        <v>0</v>
      </c>
      <c r="F5" s="4" t="n">
        <f aca="false">COUNTIFS(MEN!$O$2:$O$9,$B5,MEN!$H$2:$H$9,"X")</f>
        <v>0</v>
      </c>
      <c r="G5" s="4" t="n">
        <f aca="false">COUNTIFS(MEN!$O$2:$O$9,$B5,MEN!$I$2:$I$9,"X")</f>
        <v>0</v>
      </c>
      <c r="H5" s="4" t="n">
        <f aca="false">COUNTIFS(MEN!$O$2:$O$9,$B5,MEN!$J$2:$J$9,"X")</f>
        <v>1</v>
      </c>
      <c r="I5" s="4" t="n">
        <f aca="false">COUNTIFS(MEN!$O$2:$O$9,$B5,MEN!$K$2:$K$9,"X")</f>
        <v>1</v>
      </c>
      <c r="J5" s="4" t="n">
        <f aca="false">COUNTIFS(MEN!$O$2:$O$9,$B5,MEN!$L$2:$L$9,"X")</f>
        <v>0</v>
      </c>
      <c r="K5" s="4" t="n">
        <f aca="false">COUNTIFS(MEN!$O$2:$O$9,$B5,MEN!$M$2:$M$9,"X")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6" min="2" style="0" width="10"/>
  </cols>
  <sheetData>
    <row r="1" customFormat="false" ht="15" hidden="false" customHeight="false" outlineLevel="0" collapsed="false">
      <c r="A1" s="11" t="s">
        <v>31</v>
      </c>
      <c r="B1" s="1" t="s">
        <v>40</v>
      </c>
      <c r="C1" s="1"/>
      <c r="D1" s="1"/>
      <c r="E1" s="1" t="s">
        <v>41</v>
      </c>
      <c r="F1" s="1"/>
      <c r="G1" s="1"/>
      <c r="H1" s="1" t="s">
        <v>42</v>
      </c>
      <c r="I1" s="1"/>
      <c r="J1" s="1"/>
      <c r="K1" s="1" t="s">
        <v>43</v>
      </c>
      <c r="L1" s="1"/>
      <c r="M1" s="1"/>
      <c r="N1" s="1" t="s">
        <v>44</v>
      </c>
      <c r="O1" s="1"/>
      <c r="P1" s="1"/>
    </row>
    <row r="2" customFormat="false" ht="15" hidden="false" customHeight="false" outlineLevel="0" collapsed="false">
      <c r="A2" s="10" t="s">
        <v>31</v>
      </c>
      <c r="B2" s="9" t="s">
        <v>45</v>
      </c>
      <c r="C2" s="9" t="s">
        <v>46</v>
      </c>
      <c r="D2" s="9" t="s">
        <v>47</v>
      </c>
      <c r="E2" s="9" t="s">
        <v>45</v>
      </c>
      <c r="F2" s="9" t="s">
        <v>46</v>
      </c>
      <c r="G2" s="9" t="s">
        <v>47</v>
      </c>
      <c r="H2" s="9" t="s">
        <v>45</v>
      </c>
      <c r="I2" s="9" t="s">
        <v>46</v>
      </c>
      <c r="J2" s="9" t="s">
        <v>47</v>
      </c>
      <c r="K2" s="9" t="s">
        <v>45</v>
      </c>
      <c r="L2" s="9" t="s">
        <v>46</v>
      </c>
      <c r="M2" s="9" t="s">
        <v>47</v>
      </c>
      <c r="N2" s="9" t="s">
        <v>45</v>
      </c>
      <c r="O2" s="9" t="s">
        <v>46</v>
      </c>
      <c r="P2" s="9" t="s">
        <v>47</v>
      </c>
    </row>
    <row r="3" customFormat="false" ht="15" hidden="false" customHeight="false" outlineLevel="0" collapsed="false">
      <c r="A3" s="2" t="s">
        <v>15</v>
      </c>
      <c r="B3" s="4" t="n">
        <f aca="false">COUNTIFS(MEN!$B$2:$B$9,$A3,MEN!$E$2:$E$9,"X",MEN!$D$2:$D$9,"Guide")</f>
        <v>1</v>
      </c>
      <c r="C3" s="4" t="n">
        <f aca="false">COUNTIFS(MEN!$B$2:$B$9,$A3,MEN!$E$2:$E$9,"X",MEN!$D$2:$D$9,"Delegate: First Time")</f>
        <v>1</v>
      </c>
      <c r="D3" s="4" t="n">
        <f aca="false">COUNTIFS(MEN!$B$2:$B$9,$A3,MEN!$E$2:$E$9,"X",MEN!$D$2:$D$9,"Delegate: Second Time")</f>
        <v>0</v>
      </c>
      <c r="E3" s="4" t="n">
        <f aca="false">COUNTIFS(MEN!$B$2:$B$9,$A3,MEN!$F$2:$F$9,"X",MEN!$D$2:$D$9,"Guide")</f>
        <v>1</v>
      </c>
      <c r="F3" s="4" t="n">
        <f aca="false">COUNTIFS(MEN!$B$2:$B$9,$A3,MEN!$F$2:$F$9,"X",MEN!$D$2:$D$9,"Delegate: First Time")</f>
        <v>1</v>
      </c>
      <c r="G3" s="4" t="n">
        <f aca="false">COUNTIFS(MEN!$B$2:$B$9,$A3,MEN!$F$2:$F$9,"X",MEN!$D$2:$D$9,"Delegate: Second Time")</f>
        <v>0</v>
      </c>
      <c r="H3" s="4" t="n">
        <f aca="false">COUNTIFS(MEN!$B$2:$B$9,$A3,MEN!$G$2:$G$9,"X",MEN!$D$2:$D$9,"Guide")</f>
        <v>1</v>
      </c>
      <c r="I3" s="4" t="n">
        <f aca="false">COUNTIFS(MEN!$B$2:$B$9,$A3,MEN!$G$2:$G$9,"X",MEN!$D$2:$D$9,"Delegate: First Time")</f>
        <v>0</v>
      </c>
      <c r="J3" s="4" t="n">
        <f aca="false">COUNTIFS(MEN!$B$2:$B$9,$A3,MEN!$G$2:$G$9,"X",MEN!$D$2:$D$9,"Delegate: Second Time")</f>
        <v>1</v>
      </c>
      <c r="K3" s="4" t="n">
        <f aca="false">COUNTIFS(MEN!$B$2:$B$9,$A3,MEN!$H$2:$H$9,"X",MEN!$D$2:$D$9,"Guide")</f>
        <v>0</v>
      </c>
      <c r="L3" s="4" t="n">
        <f aca="false">COUNTIFS(MEN!$B$2:$B$9,$A3,MEN!$H$2:$H$9,"X",MEN!$D$2:$D$9,"Delegate: First Time")</f>
        <v>0</v>
      </c>
      <c r="M3" s="4" t="n">
        <f aca="false">COUNTIFS(MEN!$B$2:$B$9,$A3,MEN!$H$2:$H$9,"X",MEN!$D$2:$D$9,"Delegate: Second Time")</f>
        <v>1</v>
      </c>
      <c r="N3" s="4" t="n">
        <f aca="false">COUNTIFS(MEN!$B$2:$B$9,$A3,MEN!$I$2:$I$9,"X",MEN!$D$2:$D$9,"Guide")</f>
        <v>0</v>
      </c>
      <c r="O3" s="4" t="n">
        <f aca="false">COUNTIFS(MEN!$B$2:$B$9,$A3,MEN!$I$2:$I$9,"X",MEN!$D$2:$D$9,"Delegate: First Time")</f>
        <v>0</v>
      </c>
      <c r="P3" s="4" t="n">
        <f aca="false">COUNTIFS(MEN!$B$2:$B$9,$A3,MEN!$I$2:$I$9,"X",MEN!$D$2:$D$9,"Delegate: Second Time")</f>
        <v>0</v>
      </c>
    </row>
    <row r="4" customFormat="false" ht="15" hidden="false" customHeight="false" outlineLevel="0" collapsed="false">
      <c r="A4" s="2" t="s">
        <v>23</v>
      </c>
      <c r="B4" s="4" t="n">
        <f aca="false">COUNTIFS(MEN!$B$2:$B$9,$A4,MEN!$E$2:$E$9,"X",MEN!$D$2:$D$9,"Guide")</f>
        <v>0</v>
      </c>
      <c r="C4" s="4" t="n">
        <f aca="false">COUNTIFS(MEN!$B$2:$B$9,$A4,MEN!$E$2:$E$9,"X",MEN!$D$2:$D$9,"Delegate: First Time")</f>
        <v>1</v>
      </c>
      <c r="D4" s="4" t="n">
        <f aca="false">COUNTIFS(MEN!$B$2:$B$9,$A4,MEN!$E$2:$E$9,"X",MEN!$D$2:$D$9,"Delegate: Second Time")</f>
        <v>0</v>
      </c>
      <c r="E4" s="4" t="n">
        <f aca="false">COUNTIFS(MEN!$B$2:$B$9,$A4,MEN!$F$2:$F$9,"X",MEN!$D$2:$D$9,"Guide")</f>
        <v>0</v>
      </c>
      <c r="F4" s="4" t="n">
        <f aca="false">COUNTIFS(MEN!$B$2:$B$9,$A4,MEN!$F$2:$F$9,"X",MEN!$D$2:$D$9,"Delegate: First Time")</f>
        <v>0</v>
      </c>
      <c r="G4" s="4" t="n">
        <f aca="false">COUNTIFS(MEN!$B$2:$B$9,$A4,MEN!$F$2:$F$9,"X",MEN!$D$2:$D$9,"Delegate: Second Time")</f>
        <v>0</v>
      </c>
      <c r="H4" s="4" t="n">
        <f aca="false">COUNTIFS(MEN!$B$2:$B$9,$A4,MEN!$G$2:$G$9,"X",MEN!$D$2:$D$9,"Guide")</f>
        <v>0</v>
      </c>
      <c r="I4" s="4" t="n">
        <f aca="false">COUNTIFS(MEN!$B$2:$B$9,$A4,MEN!$G$2:$G$9,"X",MEN!$D$2:$D$9,"Delegate: First Time")</f>
        <v>0</v>
      </c>
      <c r="J4" s="4" t="n">
        <f aca="false">COUNTIFS(MEN!$B$2:$B$9,$A4,MEN!$G$2:$G$9,"X",MEN!$D$2:$D$9,"Delegate: Second Time")</f>
        <v>0</v>
      </c>
      <c r="K4" s="4" t="n">
        <f aca="false">COUNTIFS(MEN!$B$2:$B$9,$A4,MEN!$H$2:$H$9,"X",MEN!$D$2:$D$9,"Guide")</f>
        <v>0</v>
      </c>
      <c r="L4" s="4" t="n">
        <f aca="false">COUNTIFS(MEN!$B$2:$B$9,$A4,MEN!$H$2:$H$9,"X",MEN!$D$2:$D$9,"Delegate: First Time")</f>
        <v>0</v>
      </c>
      <c r="M4" s="4" t="n">
        <f aca="false">COUNTIFS(MEN!$B$2:$B$9,$A4,MEN!$H$2:$H$9,"X",MEN!$D$2:$D$9,"Delegate: Second Time")</f>
        <v>0</v>
      </c>
      <c r="N4" s="4" t="n">
        <f aca="false">COUNTIFS(MEN!$B$2:$B$9,$A4,MEN!$I$2:$I$9,"X",MEN!$D$2:$D$9,"Guide")</f>
        <v>1</v>
      </c>
      <c r="O4" s="4" t="n">
        <f aca="false">COUNTIFS(MEN!$B$2:$B$9,$A4,MEN!$I$2:$I$9,"X",MEN!$D$2:$D$9,"Delegate: First Time")</f>
        <v>1</v>
      </c>
      <c r="P4" s="4" t="n">
        <f aca="false">COUNTIFS(MEN!$B$2:$B$9,$A4,MEN!$I$2:$I$9,"X",MEN!$D$2:$D$9,"Delegate: Second Time")</f>
        <v>0</v>
      </c>
    </row>
    <row r="7" customFormat="false" ht="15" hidden="false" customHeight="false" outlineLevel="0" collapsed="false">
      <c r="A7" s="11" t="s">
        <v>31</v>
      </c>
      <c r="B7" s="1" t="s">
        <v>48</v>
      </c>
      <c r="C7" s="1"/>
      <c r="D7" s="1"/>
      <c r="E7" s="1" t="s">
        <v>49</v>
      </c>
      <c r="F7" s="1"/>
      <c r="G7" s="1"/>
      <c r="H7" s="1" t="s">
        <v>50</v>
      </c>
      <c r="I7" s="1"/>
      <c r="J7" s="1"/>
      <c r="K7" s="1" t="s">
        <v>51</v>
      </c>
      <c r="L7" s="1"/>
      <c r="M7" s="1"/>
    </row>
    <row r="8" customFormat="false" ht="15" hidden="false" customHeight="false" outlineLevel="0" collapsed="false">
      <c r="A8" s="10" t="s">
        <v>31</v>
      </c>
      <c r="B8" s="9" t="s">
        <v>45</v>
      </c>
      <c r="C8" s="9" t="s">
        <v>46</v>
      </c>
      <c r="D8" s="9" t="s">
        <v>47</v>
      </c>
      <c r="E8" s="9" t="s">
        <v>45</v>
      </c>
      <c r="F8" s="9" t="s">
        <v>46</v>
      </c>
      <c r="G8" s="9" t="s">
        <v>47</v>
      </c>
      <c r="H8" s="9" t="s">
        <v>45</v>
      </c>
      <c r="I8" s="9" t="s">
        <v>46</v>
      </c>
      <c r="J8" s="9" t="s">
        <v>47</v>
      </c>
      <c r="K8" s="9" t="s">
        <v>45</v>
      </c>
      <c r="L8" s="9" t="s">
        <v>46</v>
      </c>
      <c r="M8" s="9" t="s">
        <v>47</v>
      </c>
    </row>
    <row r="9" customFormat="false" ht="15" hidden="false" customHeight="false" outlineLevel="0" collapsed="false">
      <c r="A9" s="2" t="s">
        <v>15</v>
      </c>
      <c r="B9" s="4" t="n">
        <f aca="false">COUNTIFS(MEN!$B$2:$B$9,$A9,MEN!$J$2:$J$9,"X",MEN!$D$2:$D$9,"Guide")</f>
        <v>0</v>
      </c>
      <c r="C9" s="4" t="n">
        <f aca="false">COUNTIFS(MEN!$B$2:$B$9,$A9,MEN!$J$2:$J$9,"X",MEN!$D$2:$D$9,"Delegate: First Time")</f>
        <v>0</v>
      </c>
      <c r="D9" s="4" t="n">
        <f aca="false">COUNTIFS(MEN!$B$2:$B$9,$A9,MEN!$J$2:$J$9,"X",MEN!$D$2:$D$9,"Delegate: Second Time")</f>
        <v>0</v>
      </c>
      <c r="E9" s="4" t="n">
        <f aca="false">COUNTIFS(MEN!$B$2:$B$9,$A9,MEN!$K$2:$K$9,"X",MEN!$D$2:$D$9,"Guide")</f>
        <v>0</v>
      </c>
      <c r="F9" s="4" t="n">
        <f aca="false">COUNTIFS(MEN!$B$2:$B$9,$A9,MEN!$K$2:$K$9,"X",MEN!$D$2:$D$9,"Delegate: First Time")</f>
        <v>0</v>
      </c>
      <c r="G9" s="4" t="n">
        <f aca="false">COUNTIFS(MEN!$B$2:$B$9,$A9,MEN!$K$2:$K$9,"X",MEN!$D$2:$D$9,"Delegate: Second Time")</f>
        <v>0</v>
      </c>
      <c r="H9" s="4" t="n">
        <f aca="false">COUNTIFS(MEN!$B$2:$B$9,$A9,MEN!$L$2:$L$9,"X",MEN!$D$2:$D$9,"Guide")</f>
        <v>0</v>
      </c>
      <c r="I9" s="4" t="n">
        <f aca="false">COUNTIFS(MEN!$B$2:$B$9,$A9,MEN!$L$2:$L$9,"X",MEN!$D$2:$D$9,"Delegate: First Time")</f>
        <v>0</v>
      </c>
      <c r="J9" s="4" t="n">
        <f aca="false">COUNTIFS(MEN!$B$2:$B$9,$A9,MEN!$L$2:$L$9,"X",MEN!$D$2:$D$9,"Delegate: Second Time")</f>
        <v>0</v>
      </c>
      <c r="K9" s="4" t="n">
        <f aca="false">COUNTIFS(MEN!$B$2:$B$9,$A9,MEN!$M$2:$M$9,"X",MEN!$D$2:$D$9,"Guide")</f>
        <v>0</v>
      </c>
      <c r="L9" s="4" t="n">
        <f aca="false">COUNTIFS(MEN!$B$2:$B$9,$A9,MEN!$M$2:$M$9,"X",MEN!$D$2:$D$9,"Delegate: First Time")</f>
        <v>0</v>
      </c>
      <c r="M9" s="4" t="n">
        <f aca="false">COUNTIFS(MEN!$B$2:$B$9,$A9,MEN!$M$2:$M$9,"X",MEN!$D$2:$D$9,"Delegate: Second Time")</f>
        <v>0</v>
      </c>
    </row>
    <row r="10" customFormat="false" ht="15" hidden="false" customHeight="false" outlineLevel="0" collapsed="false">
      <c r="A10" s="2" t="s">
        <v>23</v>
      </c>
      <c r="B10" s="4" t="n">
        <f aca="false">COUNTIFS(MEN!$B$2:$B$9,$A10,MEN!$J$2:$J$9,"X",MEN!$D$2:$D$9,"Guide")</f>
        <v>1</v>
      </c>
      <c r="C10" s="4" t="n">
        <f aca="false">COUNTIFS(MEN!$B$2:$B$9,$A10,MEN!$J$2:$J$9,"X",MEN!$D$2:$D$9,"Delegate: First Time")</f>
        <v>0</v>
      </c>
      <c r="D10" s="4" t="n">
        <f aca="false">COUNTIFS(MEN!$B$2:$B$9,$A10,MEN!$J$2:$J$9,"X",MEN!$D$2:$D$9,"Delegate: Second Time")</f>
        <v>1</v>
      </c>
      <c r="E10" s="4" t="n">
        <f aca="false">COUNTIFS(MEN!$B$2:$B$9,$A10,MEN!$K$2:$K$9,"X",MEN!$D$2:$D$9,"Guide")</f>
        <v>1</v>
      </c>
      <c r="F10" s="4" t="n">
        <f aca="false">COUNTIFS(MEN!$B$2:$B$9,$A10,MEN!$K$2:$K$9,"X",MEN!$D$2:$D$9,"Delegate: First Time")</f>
        <v>0</v>
      </c>
      <c r="G10" s="4" t="n">
        <f aca="false">COUNTIFS(MEN!$B$2:$B$9,$A10,MEN!$K$2:$K$9,"X",MEN!$D$2:$D$9,"Delegate: Second Time")</f>
        <v>1</v>
      </c>
      <c r="H10" s="4" t="n">
        <f aca="false">COUNTIFS(MEN!$B$2:$B$9,$A10,MEN!$L$2:$L$9,"X",MEN!$D$2:$D$9,"Guide")</f>
        <v>1</v>
      </c>
      <c r="I10" s="4" t="n">
        <f aca="false">COUNTIFS(MEN!$B$2:$B$9,$A10,MEN!$L$2:$L$9,"X",MEN!$D$2:$D$9,"Delegate: First Time")</f>
        <v>0</v>
      </c>
      <c r="J10" s="4" t="n">
        <f aca="false">COUNTIFS(MEN!$B$2:$B$9,$A10,MEN!$L$2:$L$9,"X",MEN!$D$2:$D$9,"Delegate: Second Time")</f>
        <v>0</v>
      </c>
      <c r="K10" s="4" t="n">
        <f aca="false">COUNTIFS(MEN!$B$2:$B$9,$A10,MEN!$M$2:$M$9,"X",MEN!$D$2:$D$9,"Guide")</f>
        <v>0</v>
      </c>
      <c r="L10" s="4" t="n">
        <f aca="false">COUNTIFS(MEN!$B$2:$B$9,$A10,MEN!$M$2:$M$9,"X",MEN!$D$2:$D$9,"Delegate: First Time")</f>
        <v>0</v>
      </c>
      <c r="M10" s="4" t="n">
        <f aca="false">COUNTIFS(MEN!$B$2:$B$9,$A10,MEN!$M$2:$M$9,"X",MEN!$D$2:$D$9,"Delegate: Second Time")</f>
        <v>0</v>
      </c>
    </row>
  </sheetData>
  <mergeCells count="9">
    <mergeCell ref="B1:D1"/>
    <mergeCell ref="E1:G1"/>
    <mergeCell ref="H1:J1"/>
    <mergeCell ref="K1:M1"/>
    <mergeCell ref="N1:P1"/>
    <mergeCell ref="B7:D7"/>
    <mergeCell ref="E7:G7"/>
    <mergeCell ref="H7:J7"/>
    <mergeCell ref="K7:M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20"/>
    <col collapsed="false" customWidth="true" hidden="false" outlineLevel="0" max="4" min="4" style="0" width="22"/>
    <col collapsed="false" customWidth="true" hidden="false" outlineLevel="0" max="14" min="5" style="0" width="9"/>
    <col collapsed="false" customWidth="true" hidden="true" outlineLevel="0" max="15" min="15" style="0" width="20"/>
  </cols>
  <sheetData>
    <row r="1" customFormat="false" ht="15" hidden="false" customHeight="false" outlineLevel="0" collapsed="false">
      <c r="A1" s="1" t="s">
        <v>0</v>
      </c>
      <c r="B1" s="1" t="s">
        <v>52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 t="s">
        <v>53</v>
      </c>
      <c r="B2" s="2"/>
      <c r="C2" s="2"/>
      <c r="D2" s="3" t="s">
        <v>16</v>
      </c>
      <c r="E2" s="4" t="s">
        <v>17</v>
      </c>
      <c r="F2" s="4" t="s">
        <v>17</v>
      </c>
      <c r="G2" s="4" t="s">
        <v>17</v>
      </c>
      <c r="H2" s="4" t="s">
        <v>17</v>
      </c>
      <c r="I2" s="4" t="s">
        <v>17</v>
      </c>
      <c r="J2" s="4" t="s">
        <v>17</v>
      </c>
      <c r="K2" s="4" t="s">
        <v>17</v>
      </c>
      <c r="L2" s="4" t="s">
        <v>17</v>
      </c>
      <c r="M2" s="4" t="s">
        <v>17</v>
      </c>
      <c r="N2" s="5" t="n">
        <f aca="false">COUNTIF(E2:M2,"X")</f>
        <v>9</v>
      </c>
      <c r="O2" s="2" t="n">
        <f aca="false">IF(C2="",B2,C2)</f>
        <v>0</v>
      </c>
    </row>
    <row r="3" customFormat="false" ht="15" hidden="false" customHeight="false" outlineLevel="0" collapsed="false">
      <c r="A3" s="2" t="s">
        <v>54</v>
      </c>
      <c r="B3" s="2" t="s">
        <v>53</v>
      </c>
      <c r="C3" s="2"/>
      <c r="D3" s="3" t="s">
        <v>16</v>
      </c>
      <c r="E3" s="4" t="s">
        <v>17</v>
      </c>
      <c r="F3" s="4" t="s">
        <v>17</v>
      </c>
      <c r="G3" s="4" t="s">
        <v>17</v>
      </c>
      <c r="H3" s="4" t="s">
        <v>17</v>
      </c>
      <c r="I3" s="4"/>
      <c r="J3" s="4"/>
      <c r="K3" s="4"/>
      <c r="L3" s="4"/>
      <c r="M3" s="4"/>
      <c r="N3" s="5" t="n">
        <f aca="false">COUNTIF(E3:M3,"X")</f>
        <v>4</v>
      </c>
      <c r="O3" s="2" t="str">
        <f aca="false">IF(C3="",B3,C3)</f>
        <v>ZZTEST Mary Leader</v>
      </c>
    </row>
    <row r="4" customFormat="false" ht="15" hidden="false" customHeight="false" outlineLevel="0" collapsed="false">
      <c r="A4" s="2" t="s">
        <v>55</v>
      </c>
      <c r="B4" s="2" t="s">
        <v>53</v>
      </c>
      <c r="C4" s="2" t="s">
        <v>54</v>
      </c>
      <c r="D4" s="6" t="s">
        <v>20</v>
      </c>
      <c r="E4" s="4" t="s">
        <v>17</v>
      </c>
      <c r="F4" s="4"/>
      <c r="G4" s="4"/>
      <c r="H4" s="4"/>
      <c r="I4" s="4"/>
      <c r="J4" s="4"/>
      <c r="K4" s="4"/>
      <c r="L4" s="4"/>
      <c r="M4" s="4"/>
      <c r="N4" s="5" t="n">
        <f aca="false">COUNTIF(E4:M4,"X")</f>
        <v>1</v>
      </c>
      <c r="O4" s="2" t="str">
        <f aca="false">IF(C4="",B4,C4)</f>
        <v>ZZTEST Grace Guide</v>
      </c>
    </row>
    <row r="5" customFormat="false" ht="15" hidden="false" customHeight="false" outlineLevel="0" collapsed="false">
      <c r="A5" s="2" t="s">
        <v>56</v>
      </c>
      <c r="B5" s="2" t="s">
        <v>53</v>
      </c>
      <c r="C5" s="2" t="s">
        <v>54</v>
      </c>
      <c r="D5" s="7" t="s">
        <v>22</v>
      </c>
      <c r="E5" s="4"/>
      <c r="F5" s="4" t="s">
        <v>17</v>
      </c>
      <c r="G5" s="4" t="s">
        <v>17</v>
      </c>
      <c r="H5" s="4"/>
      <c r="I5" s="4"/>
      <c r="J5" s="4"/>
      <c r="K5" s="4"/>
      <c r="L5" s="4"/>
      <c r="M5" s="4"/>
      <c r="N5" s="5" t="n">
        <f aca="false">COUNTIF(E5:M5,"X")</f>
        <v>2</v>
      </c>
      <c r="O5" s="2" t="str">
        <f aca="false">IF(C5="",B5,C5)</f>
        <v>ZZTEST Grace Guide</v>
      </c>
    </row>
    <row r="6" customFormat="false" ht="15" hidden="false" customHeight="false" outlineLevel="0" collapsed="false">
      <c r="D6" s="8" t="s">
        <v>27</v>
      </c>
      <c r="E6" s="9" t="n">
        <f aca="false">COUNTIF(E2:E5,"X")</f>
        <v>3</v>
      </c>
      <c r="F6" s="9" t="n">
        <f aca="false">COUNTIF(F2:F5,"X")</f>
        <v>3</v>
      </c>
      <c r="G6" s="9" t="n">
        <f aca="false">COUNTIF(G2:G5,"X")</f>
        <v>3</v>
      </c>
      <c r="H6" s="9" t="n">
        <f aca="false">COUNTIF(H2:H5,"X")</f>
        <v>2</v>
      </c>
      <c r="I6" s="9" t="n">
        <f aca="false">COUNTIF(I2:I5,"X")</f>
        <v>1</v>
      </c>
      <c r="J6" s="9" t="n">
        <f aca="false">COUNTIF(J2:J5,"X")</f>
        <v>1</v>
      </c>
      <c r="K6" s="9" t="n">
        <f aca="false">COUNTIF(K2:K5,"X")</f>
        <v>1</v>
      </c>
      <c r="L6" s="9" t="n">
        <f aca="false">COUNTIF(L2:L5,"X")</f>
        <v>1</v>
      </c>
      <c r="M6" s="9" t="n">
        <f aca="false">COUNTIF(M2:M5,"X")</f>
        <v>1</v>
      </c>
      <c r="N6" s="10" t="n">
        <f aca="false">SUM(E6:M6)</f>
        <v>16</v>
      </c>
    </row>
    <row r="9" customFormat="false" ht="15" hidden="false" customHeight="false" outlineLevel="0" collapsed="false">
      <c r="D9" s="11" t="s">
        <v>28</v>
      </c>
    </row>
    <row r="10" customFormat="false" ht="15" hidden="false" customHeight="false" outlineLevel="0" collapsed="false">
      <c r="D10" s="1" t="s">
        <v>29</v>
      </c>
      <c r="E10" s="1" t="s">
        <v>4</v>
      </c>
      <c r="F10" s="1" t="s">
        <v>5</v>
      </c>
      <c r="G10" s="1" t="s">
        <v>6</v>
      </c>
      <c r="H10" s="1" t="s">
        <v>7</v>
      </c>
      <c r="I10" s="1" t="s">
        <v>8</v>
      </c>
      <c r="J10" s="1" t="s">
        <v>9</v>
      </c>
      <c r="K10" s="1" t="s">
        <v>10</v>
      </c>
      <c r="L10" s="1" t="s">
        <v>11</v>
      </c>
      <c r="M10" s="1" t="s">
        <v>12</v>
      </c>
      <c r="N10" s="1" t="s">
        <v>30</v>
      </c>
    </row>
    <row r="11" customFormat="false" ht="15" hidden="false" customHeight="false" outlineLevel="0" collapsed="false">
      <c r="D11" s="2" t="s">
        <v>53</v>
      </c>
      <c r="E11" s="4" t="n">
        <f aca="false">COUNTIFS($B$2:$B$5,$D11,E$2:E$5,"X")</f>
        <v>2</v>
      </c>
      <c r="F11" s="4" t="n">
        <f aca="false">COUNTIFS($B$2:$B$5,$D11,F$2:F$5,"X")</f>
        <v>2</v>
      </c>
      <c r="G11" s="4" t="n">
        <f aca="false">COUNTIFS($B$2:$B$5,$D11,G$2:G$5,"X")</f>
        <v>2</v>
      </c>
      <c r="H11" s="4" t="n">
        <f aca="false">COUNTIFS($B$2:$B$5,$D11,H$2:H$5,"X")</f>
        <v>1</v>
      </c>
      <c r="I11" s="4" t="n">
        <f aca="false">COUNTIFS($B$2:$B$5,$D11,I$2:I$5,"X")</f>
        <v>0</v>
      </c>
      <c r="J11" s="4" t="n">
        <f aca="false">COUNTIFS($B$2:$B$5,$D11,J$2:J$5,"X")</f>
        <v>0</v>
      </c>
      <c r="K11" s="4" t="n">
        <f aca="false">COUNTIFS($B$2:$B$5,$D11,K$2:K$5,"X")</f>
        <v>0</v>
      </c>
      <c r="L11" s="4" t="n">
        <f aca="false">COUNTIFS($B$2:$B$5,$D11,L$2:L$5,"X")</f>
        <v>0</v>
      </c>
      <c r="M11" s="4" t="n">
        <f aca="false">COUNTIFS($B$2:$B$5,$D11,M$2:M$5,"X")</f>
        <v>0</v>
      </c>
      <c r="N11" s="12" t="n">
        <f aca="false">SUM(E11:M11)</f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11" min="3" style="0" width="11"/>
  </cols>
  <sheetData>
    <row r="1" customFormat="false" ht="15" hidden="false" customHeight="false" outlineLevel="0" collapsed="false">
      <c r="A1" s="1" t="s">
        <v>31</v>
      </c>
      <c r="B1" s="1" t="s">
        <v>16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8</v>
      </c>
      <c r="H1" s="1" t="s">
        <v>36</v>
      </c>
      <c r="I1" s="1" t="s">
        <v>37</v>
      </c>
      <c r="J1" s="1" t="s">
        <v>38</v>
      </c>
      <c r="K1" s="1" t="s">
        <v>39</v>
      </c>
    </row>
    <row r="2" customFormat="false" ht="15" hidden="false" customHeight="false" outlineLevel="0" collapsed="false">
      <c r="A2" s="5" t="s">
        <v>53</v>
      </c>
      <c r="B2" s="2" t="s">
        <v>53</v>
      </c>
      <c r="C2" s="4" t="n">
        <f aca="false">COUNTIFS(WOMEN!$O$2:$O$5,$B2,WOMEN!$E$2:$E$5,"X")</f>
        <v>1</v>
      </c>
      <c r="D2" s="4" t="n">
        <f aca="false">COUNTIFS(WOMEN!$O$2:$O$5,$B2,WOMEN!$F$2:$F$5,"X")</f>
        <v>1</v>
      </c>
      <c r="E2" s="4" t="n">
        <f aca="false">COUNTIFS(WOMEN!$O$2:$O$5,$B2,WOMEN!$G$2:$G$5,"X")</f>
        <v>1</v>
      </c>
      <c r="F2" s="4" t="n">
        <f aca="false">COUNTIFS(WOMEN!$O$2:$O$5,$B2,WOMEN!$H$2:$H$5,"X")</f>
        <v>1</v>
      </c>
      <c r="G2" s="4" t="n">
        <f aca="false">COUNTIFS(WOMEN!$O$2:$O$5,$B2,WOMEN!$I$2:$I$5,"X")</f>
        <v>0</v>
      </c>
      <c r="H2" s="4" t="n">
        <f aca="false">COUNTIFS(WOMEN!$O$2:$O$5,$B2,WOMEN!$J$2:$J$5,"X")</f>
        <v>0</v>
      </c>
      <c r="I2" s="4" t="n">
        <f aca="false">COUNTIFS(WOMEN!$O$2:$O$5,$B2,WOMEN!$K$2:$K$5,"X")</f>
        <v>0</v>
      </c>
      <c r="J2" s="4" t="n">
        <f aca="false">COUNTIFS(WOMEN!$O$2:$O$5,$B2,WOMEN!$L$2:$L$5,"X")</f>
        <v>0</v>
      </c>
      <c r="K2" s="4" t="n">
        <f aca="false">COUNTIFS(WOMEN!$O$2:$O$5,$B2,WOMEN!$M$2:$M$5,"X")</f>
        <v>0</v>
      </c>
    </row>
    <row r="3" customFormat="false" ht="15" hidden="false" customHeight="false" outlineLevel="0" collapsed="false">
      <c r="A3" s="5"/>
      <c r="B3" s="2" t="s">
        <v>54</v>
      </c>
      <c r="C3" s="4" t="n">
        <f aca="false">COUNTIFS(WOMEN!$O$2:$O$5,$B3,WOMEN!$E$2:$E$5,"X")</f>
        <v>1</v>
      </c>
      <c r="D3" s="4" t="n">
        <f aca="false">COUNTIFS(WOMEN!$O$2:$O$5,$B3,WOMEN!$F$2:$F$5,"X")</f>
        <v>1</v>
      </c>
      <c r="E3" s="4" t="n">
        <f aca="false">COUNTIFS(WOMEN!$O$2:$O$5,$B3,WOMEN!$G$2:$G$5,"X")</f>
        <v>1</v>
      </c>
      <c r="F3" s="4" t="n">
        <f aca="false">COUNTIFS(WOMEN!$O$2:$O$5,$B3,WOMEN!$H$2:$H$5,"X")</f>
        <v>0</v>
      </c>
      <c r="G3" s="4" t="n">
        <f aca="false">COUNTIFS(WOMEN!$O$2:$O$5,$B3,WOMEN!$I$2:$I$5,"X")</f>
        <v>0</v>
      </c>
      <c r="H3" s="4" t="n">
        <f aca="false">COUNTIFS(WOMEN!$O$2:$O$5,$B3,WOMEN!$J$2:$J$5,"X")</f>
        <v>0</v>
      </c>
      <c r="I3" s="4" t="n">
        <f aca="false">COUNTIFS(WOMEN!$O$2:$O$5,$B3,WOMEN!$K$2:$K$5,"X")</f>
        <v>0</v>
      </c>
      <c r="J3" s="4" t="n">
        <f aca="false">COUNTIFS(WOMEN!$O$2:$O$5,$B3,WOMEN!$L$2:$L$5,"X")</f>
        <v>0</v>
      </c>
      <c r="K3" s="4" t="n">
        <f aca="false">COUNTIFS(WOMEN!$O$2:$O$5,$B3,WOMEN!$M$2:$M$5,"X")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6" min="2" style="0" width="10"/>
  </cols>
  <sheetData>
    <row r="1" customFormat="false" ht="15" hidden="false" customHeight="false" outlineLevel="0" collapsed="false">
      <c r="A1" s="11" t="s">
        <v>31</v>
      </c>
      <c r="B1" s="1" t="s">
        <v>40</v>
      </c>
      <c r="C1" s="1"/>
      <c r="D1" s="1"/>
      <c r="E1" s="1" t="s">
        <v>41</v>
      </c>
      <c r="F1" s="1"/>
      <c r="G1" s="1"/>
      <c r="H1" s="1" t="s">
        <v>42</v>
      </c>
      <c r="I1" s="1"/>
      <c r="J1" s="1"/>
      <c r="K1" s="1" t="s">
        <v>43</v>
      </c>
      <c r="L1" s="1"/>
      <c r="M1" s="1"/>
      <c r="N1" s="1" t="s">
        <v>44</v>
      </c>
      <c r="O1" s="1"/>
      <c r="P1" s="1"/>
    </row>
    <row r="2" customFormat="false" ht="15" hidden="false" customHeight="false" outlineLevel="0" collapsed="false">
      <c r="A2" s="10" t="s">
        <v>31</v>
      </c>
      <c r="B2" s="9" t="s">
        <v>45</v>
      </c>
      <c r="C2" s="9" t="s">
        <v>46</v>
      </c>
      <c r="D2" s="9" t="s">
        <v>47</v>
      </c>
      <c r="E2" s="9" t="s">
        <v>45</v>
      </c>
      <c r="F2" s="9" t="s">
        <v>46</v>
      </c>
      <c r="G2" s="9" t="s">
        <v>47</v>
      </c>
      <c r="H2" s="9" t="s">
        <v>45</v>
      </c>
      <c r="I2" s="9" t="s">
        <v>46</v>
      </c>
      <c r="J2" s="9" t="s">
        <v>47</v>
      </c>
      <c r="K2" s="9" t="s">
        <v>45</v>
      </c>
      <c r="L2" s="9" t="s">
        <v>46</v>
      </c>
      <c r="M2" s="9" t="s">
        <v>47</v>
      </c>
      <c r="N2" s="9" t="s">
        <v>45</v>
      </c>
      <c r="O2" s="9" t="s">
        <v>46</v>
      </c>
      <c r="P2" s="9" t="s">
        <v>47</v>
      </c>
    </row>
    <row r="3" customFormat="false" ht="15" hidden="false" customHeight="false" outlineLevel="0" collapsed="false">
      <c r="A3" s="2" t="s">
        <v>53</v>
      </c>
      <c r="B3" s="4" t="n">
        <f aca="false">COUNTIFS(WOMEN!$B$2:$B$5,$A3,WOMEN!$E$2:$E$5,"X",WOMEN!$D$2:$D$5,"Guide")</f>
        <v>1</v>
      </c>
      <c r="C3" s="4" t="n">
        <f aca="false">COUNTIFS(WOMEN!$B$2:$B$5,$A3,WOMEN!$E$2:$E$5,"X",WOMEN!$D$2:$D$5,"Delegate: First Time")</f>
        <v>1</v>
      </c>
      <c r="D3" s="4" t="n">
        <f aca="false">COUNTIFS(WOMEN!$B$2:$B$5,$A3,WOMEN!$E$2:$E$5,"X",WOMEN!$D$2:$D$5,"Delegate: Second Time")</f>
        <v>0</v>
      </c>
      <c r="E3" s="4" t="n">
        <f aca="false">COUNTIFS(WOMEN!$B$2:$B$5,$A3,WOMEN!$F$2:$F$5,"X",WOMEN!$D$2:$D$5,"Guide")</f>
        <v>1</v>
      </c>
      <c r="F3" s="4" t="n">
        <f aca="false">COUNTIFS(WOMEN!$B$2:$B$5,$A3,WOMEN!$F$2:$F$5,"X",WOMEN!$D$2:$D$5,"Delegate: First Time")</f>
        <v>0</v>
      </c>
      <c r="G3" s="4" t="n">
        <f aca="false">COUNTIFS(WOMEN!$B$2:$B$5,$A3,WOMEN!$F$2:$F$5,"X",WOMEN!$D$2:$D$5,"Delegate: Second Time")</f>
        <v>1</v>
      </c>
      <c r="H3" s="4" t="n">
        <f aca="false">COUNTIFS(WOMEN!$B$2:$B$5,$A3,WOMEN!$G$2:$G$5,"X",WOMEN!$D$2:$D$5,"Guide")</f>
        <v>1</v>
      </c>
      <c r="I3" s="4" t="n">
        <f aca="false">COUNTIFS(WOMEN!$B$2:$B$5,$A3,WOMEN!$G$2:$G$5,"X",WOMEN!$D$2:$D$5,"Delegate: First Time")</f>
        <v>0</v>
      </c>
      <c r="J3" s="4" t="n">
        <f aca="false">COUNTIFS(WOMEN!$B$2:$B$5,$A3,WOMEN!$G$2:$G$5,"X",WOMEN!$D$2:$D$5,"Delegate: Second Time")</f>
        <v>1</v>
      </c>
      <c r="K3" s="4" t="n">
        <f aca="false">COUNTIFS(WOMEN!$B$2:$B$5,$A3,WOMEN!$H$2:$H$5,"X",WOMEN!$D$2:$D$5,"Guide")</f>
        <v>1</v>
      </c>
      <c r="L3" s="4" t="n">
        <f aca="false">COUNTIFS(WOMEN!$B$2:$B$5,$A3,WOMEN!$H$2:$H$5,"X",WOMEN!$D$2:$D$5,"Delegate: First Time")</f>
        <v>0</v>
      </c>
      <c r="M3" s="4" t="n">
        <f aca="false">COUNTIFS(WOMEN!$B$2:$B$5,$A3,WOMEN!$H$2:$H$5,"X",WOMEN!$D$2:$D$5,"Delegate: Second Time")</f>
        <v>0</v>
      </c>
      <c r="N3" s="4" t="n">
        <f aca="false">COUNTIFS(WOMEN!$B$2:$B$5,$A3,WOMEN!$I$2:$I$5,"X",WOMEN!$D$2:$D$5,"Guide")</f>
        <v>0</v>
      </c>
      <c r="O3" s="4" t="n">
        <f aca="false">COUNTIFS(WOMEN!$B$2:$B$5,$A3,WOMEN!$I$2:$I$5,"X",WOMEN!$D$2:$D$5,"Delegate: First Time")</f>
        <v>0</v>
      </c>
      <c r="P3" s="4" t="n">
        <f aca="false">COUNTIFS(WOMEN!$B$2:$B$5,$A3,WOMEN!$I$2:$I$5,"X",WOMEN!$D$2:$D$5,"Delegate: Second Time")</f>
        <v>0</v>
      </c>
    </row>
    <row r="6" customFormat="false" ht="15" hidden="false" customHeight="false" outlineLevel="0" collapsed="false">
      <c r="A6" s="11" t="s">
        <v>31</v>
      </c>
      <c r="B6" s="1" t="s">
        <v>48</v>
      </c>
      <c r="C6" s="1"/>
      <c r="D6" s="1"/>
      <c r="E6" s="1" t="s">
        <v>49</v>
      </c>
      <c r="F6" s="1"/>
      <c r="G6" s="1"/>
      <c r="H6" s="1" t="s">
        <v>50</v>
      </c>
      <c r="I6" s="1"/>
      <c r="J6" s="1"/>
      <c r="K6" s="1" t="s">
        <v>51</v>
      </c>
      <c r="L6" s="1"/>
      <c r="M6" s="1"/>
    </row>
    <row r="7" customFormat="false" ht="15" hidden="false" customHeight="false" outlineLevel="0" collapsed="false">
      <c r="A7" s="10" t="s">
        <v>31</v>
      </c>
      <c r="B7" s="9" t="s">
        <v>45</v>
      </c>
      <c r="C7" s="9" t="s">
        <v>46</v>
      </c>
      <c r="D7" s="9" t="s">
        <v>47</v>
      </c>
      <c r="E7" s="9" t="s">
        <v>45</v>
      </c>
      <c r="F7" s="9" t="s">
        <v>46</v>
      </c>
      <c r="G7" s="9" t="s">
        <v>47</v>
      </c>
      <c r="H7" s="9" t="s">
        <v>45</v>
      </c>
      <c r="I7" s="9" t="s">
        <v>46</v>
      </c>
      <c r="J7" s="9" t="s">
        <v>47</v>
      </c>
      <c r="K7" s="9" t="s">
        <v>45</v>
      </c>
      <c r="L7" s="9" t="s">
        <v>46</v>
      </c>
      <c r="M7" s="9" t="s">
        <v>47</v>
      </c>
    </row>
    <row r="8" customFormat="false" ht="15" hidden="false" customHeight="false" outlineLevel="0" collapsed="false">
      <c r="A8" s="2" t="s">
        <v>53</v>
      </c>
      <c r="B8" s="4" t="n">
        <f aca="false">COUNTIFS(WOMEN!$B$2:$B$5,$A8,WOMEN!$J$2:$J$5,"X",WOMEN!$D$2:$D$5,"Guide")</f>
        <v>0</v>
      </c>
      <c r="C8" s="4" t="n">
        <f aca="false">COUNTIFS(WOMEN!$B$2:$B$5,$A8,WOMEN!$J$2:$J$5,"X",WOMEN!$D$2:$D$5,"Delegate: First Time")</f>
        <v>0</v>
      </c>
      <c r="D8" s="4" t="n">
        <f aca="false">COUNTIFS(WOMEN!$B$2:$B$5,$A8,WOMEN!$J$2:$J$5,"X",WOMEN!$D$2:$D$5,"Delegate: Second Time")</f>
        <v>0</v>
      </c>
      <c r="E8" s="4" t="n">
        <f aca="false">COUNTIFS(WOMEN!$B$2:$B$5,$A8,WOMEN!$K$2:$K$5,"X",WOMEN!$D$2:$D$5,"Guide")</f>
        <v>0</v>
      </c>
      <c r="F8" s="4" t="n">
        <f aca="false">COUNTIFS(WOMEN!$B$2:$B$5,$A8,WOMEN!$K$2:$K$5,"X",WOMEN!$D$2:$D$5,"Delegate: First Time")</f>
        <v>0</v>
      </c>
      <c r="G8" s="4" t="n">
        <f aca="false">COUNTIFS(WOMEN!$B$2:$B$5,$A8,WOMEN!$K$2:$K$5,"X",WOMEN!$D$2:$D$5,"Delegate: Second Time")</f>
        <v>0</v>
      </c>
      <c r="H8" s="4" t="n">
        <f aca="false">COUNTIFS(WOMEN!$B$2:$B$5,$A8,WOMEN!$L$2:$L$5,"X",WOMEN!$D$2:$D$5,"Guide")</f>
        <v>0</v>
      </c>
      <c r="I8" s="4" t="n">
        <f aca="false">COUNTIFS(WOMEN!$B$2:$B$5,$A8,WOMEN!$L$2:$L$5,"X",WOMEN!$D$2:$D$5,"Delegate: First Time")</f>
        <v>0</v>
      </c>
      <c r="J8" s="4" t="n">
        <f aca="false">COUNTIFS(WOMEN!$B$2:$B$5,$A8,WOMEN!$L$2:$L$5,"X",WOMEN!$D$2:$D$5,"Delegate: Second Time")</f>
        <v>0</v>
      </c>
      <c r="K8" s="4" t="n">
        <f aca="false">COUNTIFS(WOMEN!$B$2:$B$5,$A8,WOMEN!$M$2:$M$5,"X",WOMEN!$D$2:$D$5,"Guide")</f>
        <v>0</v>
      </c>
      <c r="L8" s="4" t="n">
        <f aca="false">COUNTIFS(WOMEN!$B$2:$B$5,$A8,WOMEN!$M$2:$M$5,"X",WOMEN!$D$2:$D$5,"Delegate: First Time")</f>
        <v>0</v>
      </c>
      <c r="M8" s="4" t="n">
        <f aca="false">COUNTIFS(WOMEN!$B$2:$B$5,$A8,WOMEN!$M$2:$M$5,"X",WOMEN!$D$2:$D$5,"Delegate: Second Time")</f>
        <v>0</v>
      </c>
    </row>
  </sheetData>
  <mergeCells count="9">
    <mergeCell ref="B1:D1"/>
    <mergeCell ref="E1:G1"/>
    <mergeCell ref="H1:J1"/>
    <mergeCell ref="K1:M1"/>
    <mergeCell ref="N1:P1"/>
    <mergeCell ref="B6:D6"/>
    <mergeCell ref="E6:G6"/>
    <mergeCell ref="H6:J6"/>
    <mergeCell ref="K6:M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2026-09-18T11:23:25Z</dcterms:created>
  <dc:creator>openpyxl</dc:creator>
  <dc:description/>
  <dc:language>en-US</dc:language>
  <cp:lastModifiedBy/>
  <dcterms:modified xsi:type="dcterms:W3CDTF">2026-09-18T11:23:26Z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