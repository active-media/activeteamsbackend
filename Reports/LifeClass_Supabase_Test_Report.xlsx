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" sheetId="1" state="visible" r:id="rId1"/>
    <sheet name="GUIDE STATE MEN" sheetId="2" state="visible" r:id="rId2"/>
    <sheet name="GUIDE STATE FOR MEN" sheetId="3" state="visible" r:id="rId3"/>
    <sheet name="WOMEN" sheetId="4" state="visible" r:id="rId4"/>
    <sheet name="GUIDE STATE WOMEN" sheetId="5" state="visible" r:id="rId5"/>
    <sheet name="GUIDE STATE FOR WO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0" applyAlignment="1" pivotButton="0" quotePrefix="0" xfId="0">
      <alignment horizontal="right"/>
    </xf>
    <xf numFmtId="0" fontId="3" fillId="6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hidden="1" width="20" customWidth="1" min="15" max="15"/>
  </cols>
  <sheetData>
    <row r="1">
      <c r="A1" s="1" t="inlineStr">
        <is>
          <t>Name</t>
        </is>
      </c>
      <c r="B1" s="1" t="inlineStr">
        <is>
          <t>Leader at 12</t>
        </is>
      </c>
      <c r="C1" s="1" t="inlineStr">
        <is>
          <t>Leader at 144</t>
        </is>
      </c>
      <c r="D1" s="1" t="inlineStr">
        <is>
          <t>Registration Type</t>
        </is>
      </c>
      <c r="E1" s="1" t="inlineStr">
        <is>
          <t>WEEK 1</t>
        </is>
      </c>
      <c r="F1" s="1" t="inlineStr">
        <is>
          <t>WEEK 2</t>
        </is>
      </c>
      <c r="G1" s="1" t="inlineStr">
        <is>
          <t>WEEK 3</t>
        </is>
      </c>
      <c r="H1" s="1" t="inlineStr">
        <is>
          <t>WEEK 4</t>
        </is>
      </c>
      <c r="I1" s="1" t="inlineStr">
        <is>
          <t>ENCOUNTER</t>
        </is>
      </c>
      <c r="J1" s="1" t="inlineStr">
        <is>
          <t>WEEK 5</t>
        </is>
      </c>
      <c r="K1" s="1" t="inlineStr">
        <is>
          <t>WEEK 6</t>
        </is>
      </c>
      <c r="L1" s="1" t="inlineStr">
        <is>
          <t>WEEK 7</t>
        </is>
      </c>
      <c r="M1" s="1" t="inlineStr">
        <is>
          <t>WEEK 8</t>
        </is>
      </c>
      <c r="N1" s="1" t="inlineStr">
        <is>
          <t>TOTAL</t>
        </is>
      </c>
      <c r="O1" s="1" t="inlineStr">
        <is>
          <t>Effective Guide</t>
        </is>
      </c>
    </row>
    <row r="2">
      <c r="A2" s="2" t="inlineStr">
        <is>
          <t>ZZTEST John Leader</t>
        </is>
      </c>
      <c r="B2" s="2" t="n"/>
      <c r="C2" s="2" t="n"/>
      <c r="D2" s="3" t="inlineStr">
        <is>
          <t>Guide</t>
        </is>
      </c>
      <c r="E2" s="4" t="inlineStr">
        <is>
          <t>X</t>
        </is>
      </c>
      <c r="F2" s="4" t="inlineStr">
        <is>
          <t>X</t>
        </is>
      </c>
      <c r="G2" s="4" t="inlineStr">
        <is>
          <t>X</t>
        </is>
      </c>
      <c r="H2" s="4" t="inlineStr">
        <is>
          <t>X</t>
        </is>
      </c>
      <c r="I2" s="4" t="inlineStr">
        <is>
          <t>X</t>
        </is>
      </c>
      <c r="J2" s="4" t="inlineStr">
        <is>
          <t>X</t>
        </is>
      </c>
      <c r="K2" s="4" t="inlineStr">
        <is>
          <t>X</t>
        </is>
      </c>
      <c r="L2" s="4" t="inlineStr">
        <is>
          <t>X</t>
        </is>
      </c>
      <c r="M2" s="4" t="inlineStr">
        <is>
          <t>X</t>
        </is>
      </c>
      <c r="N2" s="5">
        <f>COUNTIF(E2:M2,"X")</f>
        <v/>
      </c>
      <c r="O2" s="2">
        <f>IF(C2="",B2,C2)</f>
        <v/>
      </c>
    </row>
    <row r="3">
      <c r="A3" s="2" t="inlineStr">
        <is>
          <t>ZZTEST Mike Guide</t>
        </is>
      </c>
      <c r="B3" s="2" t="inlineStr">
        <is>
          <t>ZZTEST John Leader</t>
        </is>
      </c>
      <c r="C3" s="2" t="n"/>
      <c r="D3" s="3" t="inlineStr">
        <is>
          <t>Guide</t>
        </is>
      </c>
      <c r="E3" s="4" t="inlineStr">
        <is>
          <t>X</t>
        </is>
      </c>
      <c r="F3" s="4" t="inlineStr">
        <is>
          <t>X</t>
        </is>
      </c>
      <c r="G3" s="4" t="inlineStr">
        <is>
          <t>X</t>
        </is>
      </c>
      <c r="H3" s="4" t="n"/>
      <c r="I3" s="4" t="n"/>
      <c r="J3" s="4" t="n"/>
      <c r="K3" s="4" t="n"/>
      <c r="L3" s="4" t="n"/>
      <c r="M3" s="4" t="n"/>
      <c r="N3" s="5">
        <f>COUNTIF(E3:M3,"X")</f>
        <v/>
      </c>
      <c r="O3" s="2">
        <f>IF(C3="",B3,C3)</f>
        <v/>
      </c>
    </row>
    <row r="4">
      <c r="A4" s="2" t="inlineStr">
        <is>
          <t>ZZTEST Steve Delegate</t>
        </is>
      </c>
      <c r="B4" s="2" t="inlineStr">
        <is>
          <t>ZZTEST John Leader</t>
        </is>
      </c>
      <c r="C4" s="2" t="inlineStr">
        <is>
          <t>ZZTEST Mike Guide</t>
        </is>
      </c>
      <c r="D4" s="6" t="inlineStr">
        <is>
          <t>Delegate: First Time</t>
        </is>
      </c>
      <c r="E4" s="4" t="inlineStr">
        <is>
          <t>X</t>
        </is>
      </c>
      <c r="F4" s="4" t="inlineStr">
        <is>
          <t>X</t>
        </is>
      </c>
      <c r="G4" s="4" t="n"/>
      <c r="H4" s="4" t="n"/>
      <c r="I4" s="4" t="n"/>
      <c r="J4" s="4" t="n"/>
      <c r="K4" s="4" t="n"/>
      <c r="L4" s="4" t="n"/>
      <c r="M4" s="4" t="n"/>
      <c r="N4" s="5">
        <f>COUNTIF(E4:M4,"X")</f>
        <v/>
      </c>
      <c r="O4" s="2">
        <f>IF(C4="",B4,C4)</f>
        <v/>
      </c>
    </row>
    <row r="5">
      <c r="A5" s="2" t="inlineStr">
        <is>
          <t>ZZTEST Tom Delegate</t>
        </is>
      </c>
      <c r="B5" s="2" t="inlineStr">
        <is>
          <t>ZZTEST John Leader</t>
        </is>
      </c>
      <c r="C5" s="2" t="inlineStr">
        <is>
          <t>ZZTEST Mike Guide</t>
        </is>
      </c>
      <c r="D5" s="7" t="inlineStr">
        <is>
          <t>Delegate: Second Time</t>
        </is>
      </c>
      <c r="E5" s="4" t="n"/>
      <c r="F5" s="4" t="n"/>
      <c r="G5" s="4" t="inlineStr">
        <is>
          <t>X</t>
        </is>
      </c>
      <c r="H5" s="4" t="inlineStr">
        <is>
          <t>X</t>
        </is>
      </c>
      <c r="I5" s="4" t="n"/>
      <c r="J5" s="4" t="n"/>
      <c r="K5" s="4" t="n"/>
      <c r="L5" s="4" t="n"/>
      <c r="M5" s="4" t="n"/>
      <c r="N5" s="5">
        <f>COUNTIF(E5:M5,"X")</f>
        <v/>
      </c>
      <c r="O5" s="2">
        <f>IF(C5="",B5,C5)</f>
        <v/>
      </c>
    </row>
    <row r="6">
      <c r="A6" s="2" t="inlineStr">
        <is>
          <t>ZZTEST Second Leader</t>
        </is>
      </c>
      <c r="B6" s="2" t="n"/>
      <c r="C6" s="2" t="n"/>
      <c r="D6" s="3" t="inlineStr">
        <is>
          <t>Guide</t>
        </is>
      </c>
      <c r="E6" s="4" t="inlineStr">
        <is>
          <t>X</t>
        </is>
      </c>
      <c r="F6" s="4" t="inlineStr">
        <is>
          <t>X</t>
        </is>
      </c>
      <c r="G6" s="4" t="inlineStr">
        <is>
          <t>X</t>
        </is>
      </c>
      <c r="H6" s="4" t="inlineStr">
        <is>
          <t>X</t>
        </is>
      </c>
      <c r="I6" s="4" t="inlineStr">
        <is>
          <t>X</t>
        </is>
      </c>
      <c r="J6" s="4" t="inlineStr">
        <is>
          <t>X</t>
        </is>
      </c>
      <c r="K6" s="4" t="inlineStr">
        <is>
          <t>X</t>
        </is>
      </c>
      <c r="L6" s="4" t="inlineStr">
        <is>
          <t>X</t>
        </is>
      </c>
      <c r="M6" s="4" t="inlineStr">
        <is>
          <t>X</t>
        </is>
      </c>
      <c r="N6" s="5">
        <f>COUNTIF(E6:M6,"X")</f>
        <v/>
      </c>
      <c r="O6" s="2">
        <f>IF(C6="",B6,C6)</f>
        <v/>
      </c>
    </row>
    <row r="7">
      <c r="A7" s="2" t="inlineStr">
        <is>
          <t>ZZTEST Alex Delegate</t>
        </is>
      </c>
      <c r="B7" s="2" t="inlineStr">
        <is>
          <t>ZZTEST Second Leader</t>
        </is>
      </c>
      <c r="C7" s="2" t="n"/>
      <c r="D7" s="6" t="inlineStr">
        <is>
          <t>Delegate: First Time</t>
        </is>
      </c>
      <c r="E7" s="4" t="inlineStr">
        <is>
          <t>X</t>
        </is>
      </c>
      <c r="F7" s="4" t="n"/>
      <c r="G7" s="4" t="n"/>
      <c r="H7" s="4" t="n"/>
      <c r="I7" s="4" t="inlineStr">
        <is>
          <t>X</t>
        </is>
      </c>
      <c r="J7" s="4" t="n"/>
      <c r="K7" s="4" t="n"/>
      <c r="L7" s="4" t="n"/>
      <c r="M7" s="4" t="n"/>
      <c r="N7" s="5">
        <f>COUNTIF(E7:M7,"X")</f>
        <v/>
      </c>
      <c r="O7" s="2">
        <f>IF(C7="",B7,C7)</f>
        <v/>
      </c>
    </row>
    <row r="8">
      <c r="A8" s="2" t="inlineStr">
        <is>
          <t>ZZTEST Nina Delegate</t>
        </is>
      </c>
      <c r="B8" s="2" t="inlineStr">
        <is>
          <t>ZZTEST Second Leader</t>
        </is>
      </c>
      <c r="C8" s="2" t="n"/>
      <c r="D8" s="3" t="inlineStr">
        <is>
          <t>Guide</t>
        </is>
      </c>
      <c r="E8" s="4" t="n"/>
      <c r="F8" s="4" t="n"/>
      <c r="G8" s="4" t="n"/>
      <c r="H8" s="4" t="n"/>
      <c r="I8" s="4" t="inlineStr">
        <is>
          <t>X</t>
        </is>
      </c>
      <c r="J8" s="4" t="inlineStr">
        <is>
          <t>X</t>
        </is>
      </c>
      <c r="K8" s="4" t="inlineStr">
        <is>
          <t>X</t>
        </is>
      </c>
      <c r="L8" s="4" t="inlineStr">
        <is>
          <t>X</t>
        </is>
      </c>
      <c r="M8" s="4" t="n"/>
      <c r="N8" s="5">
        <f>COUNTIF(E8:M8,"X")</f>
        <v/>
      </c>
      <c r="O8" s="2">
        <f>IF(C8="",B8,C8)</f>
        <v/>
      </c>
    </row>
    <row r="9">
      <c r="A9" s="2" t="inlineStr">
        <is>
          <t>ZZTEST Priya Delegate</t>
        </is>
      </c>
      <c r="B9" s="2" t="inlineStr">
        <is>
          <t>ZZTEST Second Leader</t>
        </is>
      </c>
      <c r="C9" s="2" t="inlineStr">
        <is>
          <t>ZZTEST Nina Delegate</t>
        </is>
      </c>
      <c r="D9" s="7" t="inlineStr">
        <is>
          <t>Delegate: Second Time</t>
        </is>
      </c>
      <c r="E9" s="4" t="n"/>
      <c r="F9" s="4" t="n"/>
      <c r="G9" s="4" t="n"/>
      <c r="H9" s="4" t="n"/>
      <c r="I9" s="4" t="n"/>
      <c r="J9" s="4" t="inlineStr">
        <is>
          <t>X</t>
        </is>
      </c>
      <c r="K9" s="4" t="inlineStr">
        <is>
          <t>X</t>
        </is>
      </c>
      <c r="L9" s="4" t="n"/>
      <c r="M9" s="4" t="n"/>
      <c r="N9" s="5">
        <f>COUNTIF(E9:M9,"X")</f>
        <v/>
      </c>
      <c r="O9" s="2">
        <f>IF(C9="",B9,C9)</f>
        <v/>
      </c>
    </row>
    <row r="10">
      <c r="D10" s="8" t="inlineStr">
        <is>
          <t>WEEKLY TOTAL</t>
        </is>
      </c>
      <c r="E10" s="9">
        <f>COUNTIF(E2:E9,"X")</f>
        <v/>
      </c>
      <c r="F10" s="9">
        <f>COUNTIF(F2:F9,"X")</f>
        <v/>
      </c>
      <c r="G10" s="9">
        <f>COUNTIF(G2:G9,"X")</f>
        <v/>
      </c>
      <c r="H10" s="9">
        <f>COUNTIF(H2:H9,"X")</f>
        <v/>
      </c>
      <c r="I10" s="9">
        <f>COUNTIF(I2:I9,"X")</f>
        <v/>
      </c>
      <c r="J10" s="9">
        <f>COUNTIF(J2:J9,"X")</f>
        <v/>
      </c>
      <c r="K10" s="9">
        <f>COUNTIF(K2:K9,"X")</f>
        <v/>
      </c>
      <c r="L10" s="9">
        <f>COUNTIF(L2:L9,"X")</f>
        <v/>
      </c>
      <c r="M10" s="9">
        <f>COUNTIF(M2:M9,"X")</f>
        <v/>
      </c>
      <c r="N10" s="10">
        <f>SUM(E10:M10)</f>
        <v/>
      </c>
    </row>
    <row r="13">
      <c r="D13" s="11" t="inlineStr">
        <is>
          <t>LEADER @12 STATS</t>
        </is>
      </c>
    </row>
    <row r="14">
      <c r="D14" s="1" t="inlineStr">
        <is>
          <t>Leader @12</t>
        </is>
      </c>
      <c r="E14" s="1" t="inlineStr">
        <is>
          <t>WEEK 1</t>
        </is>
      </c>
      <c r="F14" s="1" t="inlineStr">
        <is>
          <t>WEEK 2</t>
        </is>
      </c>
      <c r="G14" s="1" t="inlineStr">
        <is>
          <t>WEEK 3</t>
        </is>
      </c>
      <c r="H14" s="1" t="inlineStr">
        <is>
          <t>WEEK 4</t>
        </is>
      </c>
      <c r="I14" s="1" t="inlineStr">
        <is>
          <t>ENCOUNTER</t>
        </is>
      </c>
      <c r="J14" s="1" t="inlineStr">
        <is>
          <t>WEEK 5</t>
        </is>
      </c>
      <c r="K14" s="1" t="inlineStr">
        <is>
          <t>WEEK 6</t>
        </is>
      </c>
      <c r="L14" s="1" t="inlineStr">
        <is>
          <t>WEEK 7</t>
        </is>
      </c>
      <c r="M14" s="1" t="inlineStr">
        <is>
          <t>WEEK 8</t>
        </is>
      </c>
      <c r="N14" s="1" t="inlineStr">
        <is>
          <t>Total</t>
        </is>
      </c>
    </row>
    <row r="15">
      <c r="D15" s="2" t="inlineStr">
        <is>
          <t>ZZTEST John Leader</t>
        </is>
      </c>
      <c r="E15" s="4">
        <f>COUNTIFS($B$2:$B$9,$D15,E$2:E$9,"X")</f>
        <v/>
      </c>
      <c r="F15" s="4">
        <f>COUNTIFS($B$2:$B$9,$D15,F$2:F$9,"X")</f>
        <v/>
      </c>
      <c r="G15" s="4">
        <f>COUNTIFS($B$2:$B$9,$D15,G$2:G$9,"X")</f>
        <v/>
      </c>
      <c r="H15" s="4">
        <f>COUNTIFS($B$2:$B$9,$D15,H$2:H$9,"X")</f>
        <v/>
      </c>
      <c r="I15" s="4">
        <f>COUNTIFS($B$2:$B$9,$D15,I$2:I$9,"X")</f>
        <v/>
      </c>
      <c r="J15" s="4">
        <f>COUNTIFS($B$2:$B$9,$D15,J$2:J$9,"X")</f>
        <v/>
      </c>
      <c r="K15" s="4">
        <f>COUNTIFS($B$2:$B$9,$D15,K$2:K$9,"X")</f>
        <v/>
      </c>
      <c r="L15" s="4">
        <f>COUNTIFS($B$2:$B$9,$D15,L$2:L$9,"X")</f>
        <v/>
      </c>
      <c r="M15" s="4">
        <f>COUNTIFS($B$2:$B$9,$D15,M$2:M$9,"X")</f>
        <v/>
      </c>
      <c r="N15" s="12">
        <f>SUM(E15:M15)</f>
        <v/>
      </c>
    </row>
    <row r="16">
      <c r="D16" s="2" t="inlineStr">
        <is>
          <t>ZZTEST Second Leader</t>
        </is>
      </c>
      <c r="E16" s="4">
        <f>COUNTIFS($B$2:$B$9,$D16,E$2:E$9,"X")</f>
        <v/>
      </c>
      <c r="F16" s="4">
        <f>COUNTIFS($B$2:$B$9,$D16,F$2:F$9,"X")</f>
        <v/>
      </c>
      <c r="G16" s="4">
        <f>COUNTIFS($B$2:$B$9,$D16,G$2:G$9,"X")</f>
        <v/>
      </c>
      <c r="H16" s="4">
        <f>COUNTIFS($B$2:$B$9,$D16,H$2:H$9,"X")</f>
        <v/>
      </c>
      <c r="I16" s="4">
        <f>COUNTIFS($B$2:$B$9,$D16,I$2:I$9,"X")</f>
        <v/>
      </c>
      <c r="J16" s="4">
        <f>COUNTIFS($B$2:$B$9,$D16,J$2:J$9,"X")</f>
        <v/>
      </c>
      <c r="K16" s="4">
        <f>COUNTIFS($B$2:$B$9,$D16,K$2:K$9,"X")</f>
        <v/>
      </c>
      <c r="L16" s="4">
        <f>COUNTIFS($B$2:$B$9,$D16,L$2:L$9,"X")</f>
        <v/>
      </c>
      <c r="M16" s="4">
        <f>COUNTIFS($B$2:$B$9,$D16,M$2:M$9,"X")</f>
        <v/>
      </c>
      <c r="N16" s="12">
        <f>SUM(E16:M16)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Leader</t>
        </is>
      </c>
      <c r="B1" s="1" t="inlineStr">
        <is>
          <t>Guide</t>
        </is>
      </c>
      <c r="C1" s="1" t="inlineStr">
        <is>
          <t>Delegate W1</t>
        </is>
      </c>
      <c r="D1" s="1" t="inlineStr">
        <is>
          <t>Delegate W2</t>
        </is>
      </c>
      <c r="E1" s="1" t="inlineStr">
        <is>
          <t>Delegate W3</t>
        </is>
      </c>
      <c r="F1" s="1" t="inlineStr">
        <is>
          <t>Delegate W4</t>
        </is>
      </c>
      <c r="G1" s="1" t="inlineStr">
        <is>
          <t>ENCOUNTER</t>
        </is>
      </c>
      <c r="H1" s="1" t="inlineStr">
        <is>
          <t>Delegate W5</t>
        </is>
      </c>
      <c r="I1" s="1" t="inlineStr">
        <is>
          <t>Delegate W6</t>
        </is>
      </c>
      <c r="J1" s="1" t="inlineStr">
        <is>
          <t>Delegate W7</t>
        </is>
      </c>
      <c r="K1" s="1" t="inlineStr">
        <is>
          <t>Delegate W8</t>
        </is>
      </c>
    </row>
    <row r="2">
      <c r="A2" s="5" t="inlineStr">
        <is>
          <t>ZZTEST John Leader</t>
        </is>
      </c>
      <c r="B2" s="2" t="inlineStr">
        <is>
          <t>ZZTEST John Leader</t>
        </is>
      </c>
      <c r="C2" s="4">
        <f>COUNTIFS('MEN'!$O$2:$O$9,$B2,'MEN'!$E$2:$E$9,"X")</f>
        <v/>
      </c>
      <c r="D2" s="4">
        <f>COUNTIFS('MEN'!$O$2:$O$9,$B2,'MEN'!$F$2:$F$9,"X")</f>
        <v/>
      </c>
      <c r="E2" s="4">
        <f>COUNTIFS('MEN'!$O$2:$O$9,$B2,'MEN'!$G$2:$G$9,"X")</f>
        <v/>
      </c>
      <c r="F2" s="4">
        <f>COUNTIFS('MEN'!$O$2:$O$9,$B2,'MEN'!$H$2:$H$9,"X")</f>
        <v/>
      </c>
      <c r="G2" s="4">
        <f>COUNTIFS('MEN'!$O$2:$O$9,$B2,'MEN'!$I$2:$I$9,"X")</f>
        <v/>
      </c>
      <c r="H2" s="4">
        <f>COUNTIFS('MEN'!$O$2:$O$9,$B2,'MEN'!$J$2:$J$9,"X")</f>
        <v/>
      </c>
      <c r="I2" s="4">
        <f>COUNTIFS('MEN'!$O$2:$O$9,$B2,'MEN'!$K$2:$K$9,"X")</f>
        <v/>
      </c>
      <c r="J2" s="4">
        <f>COUNTIFS('MEN'!$O$2:$O$9,$B2,'MEN'!$L$2:$L$9,"X")</f>
        <v/>
      </c>
      <c r="K2" s="4">
        <f>COUNTIFS('MEN'!$O$2:$O$9,$B2,'MEN'!$M$2:$M$9,"X")</f>
        <v/>
      </c>
    </row>
    <row r="3">
      <c r="A3" s="5" t="n"/>
      <c r="B3" s="2" t="inlineStr">
        <is>
          <t>ZZTEST Mike Guide</t>
        </is>
      </c>
      <c r="C3" s="4">
        <f>COUNTIFS('MEN'!$O$2:$O$9,$B3,'MEN'!$E$2:$E$9,"X")</f>
        <v/>
      </c>
      <c r="D3" s="4">
        <f>COUNTIFS('MEN'!$O$2:$O$9,$B3,'MEN'!$F$2:$F$9,"X")</f>
        <v/>
      </c>
      <c r="E3" s="4">
        <f>COUNTIFS('MEN'!$O$2:$O$9,$B3,'MEN'!$G$2:$G$9,"X")</f>
        <v/>
      </c>
      <c r="F3" s="4">
        <f>COUNTIFS('MEN'!$O$2:$O$9,$B3,'MEN'!$H$2:$H$9,"X")</f>
        <v/>
      </c>
      <c r="G3" s="4">
        <f>COUNTIFS('MEN'!$O$2:$O$9,$B3,'MEN'!$I$2:$I$9,"X")</f>
        <v/>
      </c>
      <c r="H3" s="4">
        <f>COUNTIFS('MEN'!$O$2:$O$9,$B3,'MEN'!$J$2:$J$9,"X")</f>
        <v/>
      </c>
      <c r="I3" s="4">
        <f>COUNTIFS('MEN'!$O$2:$O$9,$B3,'MEN'!$K$2:$K$9,"X")</f>
        <v/>
      </c>
      <c r="J3" s="4">
        <f>COUNTIFS('MEN'!$O$2:$O$9,$B3,'MEN'!$L$2:$L$9,"X")</f>
        <v/>
      </c>
      <c r="K3" s="4">
        <f>COUNTIFS('MEN'!$O$2:$O$9,$B3,'MEN'!$M$2:$M$9,"X")</f>
        <v/>
      </c>
    </row>
    <row r="4">
      <c r="A4" s="5" t="inlineStr">
        <is>
          <t>ZZTEST Second Leader</t>
        </is>
      </c>
      <c r="B4" s="2" t="inlineStr">
        <is>
          <t>ZZTEST Second Leader</t>
        </is>
      </c>
      <c r="C4" s="4">
        <f>COUNTIFS('MEN'!$O$2:$O$9,$B4,'MEN'!$E$2:$E$9,"X")</f>
        <v/>
      </c>
      <c r="D4" s="4">
        <f>COUNTIFS('MEN'!$O$2:$O$9,$B4,'MEN'!$F$2:$F$9,"X")</f>
        <v/>
      </c>
      <c r="E4" s="4">
        <f>COUNTIFS('MEN'!$O$2:$O$9,$B4,'MEN'!$G$2:$G$9,"X")</f>
        <v/>
      </c>
      <c r="F4" s="4">
        <f>COUNTIFS('MEN'!$O$2:$O$9,$B4,'MEN'!$H$2:$H$9,"X")</f>
        <v/>
      </c>
      <c r="G4" s="4">
        <f>COUNTIFS('MEN'!$O$2:$O$9,$B4,'MEN'!$I$2:$I$9,"X")</f>
        <v/>
      </c>
      <c r="H4" s="4">
        <f>COUNTIFS('MEN'!$O$2:$O$9,$B4,'MEN'!$J$2:$J$9,"X")</f>
        <v/>
      </c>
      <c r="I4" s="4">
        <f>COUNTIFS('MEN'!$O$2:$O$9,$B4,'MEN'!$K$2:$K$9,"X")</f>
        <v/>
      </c>
      <c r="J4" s="4">
        <f>COUNTIFS('MEN'!$O$2:$O$9,$B4,'MEN'!$L$2:$L$9,"X")</f>
        <v/>
      </c>
      <c r="K4" s="4">
        <f>COUNTIFS('MEN'!$O$2:$O$9,$B4,'MEN'!$M$2:$M$9,"X")</f>
        <v/>
      </c>
    </row>
    <row r="5">
      <c r="A5" s="5" t="n"/>
      <c r="B5" s="2" t="inlineStr">
        <is>
          <t>ZZTEST Nina Delegate</t>
        </is>
      </c>
      <c r="C5" s="4">
        <f>COUNTIFS('MEN'!$O$2:$O$9,$B5,'MEN'!$E$2:$E$9,"X")</f>
        <v/>
      </c>
      <c r="D5" s="4">
        <f>COUNTIFS('MEN'!$O$2:$O$9,$B5,'MEN'!$F$2:$F$9,"X")</f>
        <v/>
      </c>
      <c r="E5" s="4">
        <f>COUNTIFS('MEN'!$O$2:$O$9,$B5,'MEN'!$G$2:$G$9,"X")</f>
        <v/>
      </c>
      <c r="F5" s="4">
        <f>COUNTIFS('MEN'!$O$2:$O$9,$B5,'MEN'!$H$2:$H$9,"X")</f>
        <v/>
      </c>
      <c r="G5" s="4">
        <f>COUNTIFS('MEN'!$O$2:$O$9,$B5,'MEN'!$I$2:$I$9,"X")</f>
        <v/>
      </c>
      <c r="H5" s="4">
        <f>COUNTIFS('MEN'!$O$2:$O$9,$B5,'MEN'!$J$2:$J$9,"X")</f>
        <v/>
      </c>
      <c r="I5" s="4">
        <f>COUNTIFS('MEN'!$O$2:$O$9,$B5,'MEN'!$K$2:$K$9,"X")</f>
        <v/>
      </c>
      <c r="J5" s="4">
        <f>COUNTIFS('MEN'!$O$2:$O$9,$B5,'MEN'!$L$2:$L$9,"X")</f>
        <v/>
      </c>
      <c r="K5" s="4">
        <f>COUNTIFS('MEN'!$O$2:$O$9,$B5,'MEN'!$M$2:$M$9,"X")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1" t="inlineStr">
        <is>
          <t>Leader</t>
        </is>
      </c>
      <c r="B1" s="1" t="inlineStr">
        <is>
          <t>WEEK 1 DELEGATES</t>
        </is>
      </c>
      <c r="C1" s="13" t="n"/>
      <c r="D1" s="13" t="n"/>
      <c r="E1" s="1" t="inlineStr">
        <is>
          <t>WEEK 2 DELEGATES</t>
        </is>
      </c>
      <c r="F1" s="13" t="n"/>
      <c r="G1" s="13" t="n"/>
      <c r="H1" s="1" t="inlineStr">
        <is>
          <t>WEEK 3 DELEGATES</t>
        </is>
      </c>
      <c r="I1" s="13" t="n"/>
      <c r="J1" s="13" t="n"/>
      <c r="K1" s="1" t="inlineStr">
        <is>
          <t>WEEK 4 DELEGATES</t>
        </is>
      </c>
      <c r="L1" s="13" t="n"/>
      <c r="M1" s="13" t="n"/>
      <c r="N1" s="1" t="inlineStr">
        <is>
          <t>ENCOUNTER DELEGATES</t>
        </is>
      </c>
      <c r="O1" s="13" t="n"/>
      <c r="P1" s="13" t="n"/>
    </row>
    <row r="2">
      <c r="A2" s="10" t="inlineStr">
        <is>
          <t>Leader</t>
        </is>
      </c>
      <c r="B2" s="9" t="inlineStr">
        <is>
          <t>Guides</t>
        </is>
      </c>
      <c r="C2" s="9" t="inlineStr">
        <is>
          <t>First Time</t>
        </is>
      </c>
      <c r="D2" s="9" t="inlineStr">
        <is>
          <t>Second Time</t>
        </is>
      </c>
      <c r="E2" s="9" t="inlineStr">
        <is>
          <t>Guides</t>
        </is>
      </c>
      <c r="F2" s="9" t="inlineStr">
        <is>
          <t>First Time</t>
        </is>
      </c>
      <c r="G2" s="9" t="inlineStr">
        <is>
          <t>Second Time</t>
        </is>
      </c>
      <c r="H2" s="9" t="inlineStr">
        <is>
          <t>Guides</t>
        </is>
      </c>
      <c r="I2" s="9" t="inlineStr">
        <is>
          <t>First Time</t>
        </is>
      </c>
      <c r="J2" s="9" t="inlineStr">
        <is>
          <t>Second Time</t>
        </is>
      </c>
      <c r="K2" s="9" t="inlineStr">
        <is>
          <t>Guides</t>
        </is>
      </c>
      <c r="L2" s="9" t="inlineStr">
        <is>
          <t>First Time</t>
        </is>
      </c>
      <c r="M2" s="9" t="inlineStr">
        <is>
          <t>Second Time</t>
        </is>
      </c>
      <c r="N2" s="9" t="inlineStr">
        <is>
          <t>Guides</t>
        </is>
      </c>
      <c r="O2" s="9" t="inlineStr">
        <is>
          <t>First Time</t>
        </is>
      </c>
      <c r="P2" s="9" t="inlineStr">
        <is>
          <t>Second Time</t>
        </is>
      </c>
    </row>
    <row r="3">
      <c r="A3" s="2" t="inlineStr">
        <is>
          <t>ZZTEST John Leader</t>
        </is>
      </c>
      <c r="B3" s="4">
        <f>COUNTIFS('MEN'!$B$2:$B$9,$A3,'MEN'!$E$2:$E$9,"X",'MEN'!$D$2:$D$9,"Guide")</f>
        <v/>
      </c>
      <c r="C3" s="4">
        <f>COUNTIFS('MEN'!$B$2:$B$9,$A3,'MEN'!$E$2:$E$9,"X",'MEN'!$D$2:$D$9,"Delegate: First Time")</f>
        <v/>
      </c>
      <c r="D3" s="4">
        <f>COUNTIFS('MEN'!$B$2:$B$9,$A3,'MEN'!$E$2:$E$9,"X",'MEN'!$D$2:$D$9,"Delegate: Second Time")</f>
        <v/>
      </c>
      <c r="E3" s="4">
        <f>COUNTIFS('MEN'!$B$2:$B$9,$A3,'MEN'!$F$2:$F$9,"X",'MEN'!$D$2:$D$9,"Guide")</f>
        <v/>
      </c>
      <c r="F3" s="4">
        <f>COUNTIFS('MEN'!$B$2:$B$9,$A3,'MEN'!$F$2:$F$9,"X",'MEN'!$D$2:$D$9,"Delegate: First Time")</f>
        <v/>
      </c>
      <c r="G3" s="4">
        <f>COUNTIFS('MEN'!$B$2:$B$9,$A3,'MEN'!$F$2:$F$9,"X",'MEN'!$D$2:$D$9,"Delegate: Second Time")</f>
        <v/>
      </c>
      <c r="H3" s="4">
        <f>COUNTIFS('MEN'!$B$2:$B$9,$A3,'MEN'!$G$2:$G$9,"X",'MEN'!$D$2:$D$9,"Guide")</f>
        <v/>
      </c>
      <c r="I3" s="4">
        <f>COUNTIFS('MEN'!$B$2:$B$9,$A3,'MEN'!$G$2:$G$9,"X",'MEN'!$D$2:$D$9,"Delegate: First Time")</f>
        <v/>
      </c>
      <c r="J3" s="4">
        <f>COUNTIFS('MEN'!$B$2:$B$9,$A3,'MEN'!$G$2:$G$9,"X",'MEN'!$D$2:$D$9,"Delegate: Second Time")</f>
        <v/>
      </c>
      <c r="K3" s="4">
        <f>COUNTIFS('MEN'!$B$2:$B$9,$A3,'MEN'!$H$2:$H$9,"X",'MEN'!$D$2:$D$9,"Guide")</f>
        <v/>
      </c>
      <c r="L3" s="4">
        <f>COUNTIFS('MEN'!$B$2:$B$9,$A3,'MEN'!$H$2:$H$9,"X",'MEN'!$D$2:$D$9,"Delegate: First Time")</f>
        <v/>
      </c>
      <c r="M3" s="4">
        <f>COUNTIFS('MEN'!$B$2:$B$9,$A3,'MEN'!$H$2:$H$9,"X",'MEN'!$D$2:$D$9,"Delegate: Second Time")</f>
        <v/>
      </c>
      <c r="N3" s="4">
        <f>COUNTIFS('MEN'!$B$2:$B$9,$A3,'MEN'!$I$2:$I$9,"X",'MEN'!$D$2:$D$9,"Guide")</f>
        <v/>
      </c>
      <c r="O3" s="4">
        <f>COUNTIFS('MEN'!$B$2:$B$9,$A3,'MEN'!$I$2:$I$9,"X",'MEN'!$D$2:$D$9,"Delegate: First Time")</f>
        <v/>
      </c>
      <c r="P3" s="4">
        <f>COUNTIFS('MEN'!$B$2:$B$9,$A3,'MEN'!$I$2:$I$9,"X",'MEN'!$D$2:$D$9,"Delegate: Second Time")</f>
        <v/>
      </c>
    </row>
    <row r="4">
      <c r="A4" s="2" t="inlineStr">
        <is>
          <t>ZZTEST Second Leader</t>
        </is>
      </c>
      <c r="B4" s="4">
        <f>COUNTIFS('MEN'!$B$2:$B$9,$A4,'MEN'!$E$2:$E$9,"X",'MEN'!$D$2:$D$9,"Guide")</f>
        <v/>
      </c>
      <c r="C4" s="4">
        <f>COUNTIFS('MEN'!$B$2:$B$9,$A4,'MEN'!$E$2:$E$9,"X",'MEN'!$D$2:$D$9,"Delegate: First Time")</f>
        <v/>
      </c>
      <c r="D4" s="4">
        <f>COUNTIFS('MEN'!$B$2:$B$9,$A4,'MEN'!$E$2:$E$9,"X",'MEN'!$D$2:$D$9,"Delegate: Second Time")</f>
        <v/>
      </c>
      <c r="E4" s="4">
        <f>COUNTIFS('MEN'!$B$2:$B$9,$A4,'MEN'!$F$2:$F$9,"X",'MEN'!$D$2:$D$9,"Guide")</f>
        <v/>
      </c>
      <c r="F4" s="4">
        <f>COUNTIFS('MEN'!$B$2:$B$9,$A4,'MEN'!$F$2:$F$9,"X",'MEN'!$D$2:$D$9,"Delegate: First Time")</f>
        <v/>
      </c>
      <c r="G4" s="4">
        <f>COUNTIFS('MEN'!$B$2:$B$9,$A4,'MEN'!$F$2:$F$9,"X",'MEN'!$D$2:$D$9,"Delegate: Second Time")</f>
        <v/>
      </c>
      <c r="H4" s="4">
        <f>COUNTIFS('MEN'!$B$2:$B$9,$A4,'MEN'!$G$2:$G$9,"X",'MEN'!$D$2:$D$9,"Guide")</f>
        <v/>
      </c>
      <c r="I4" s="4">
        <f>COUNTIFS('MEN'!$B$2:$B$9,$A4,'MEN'!$G$2:$G$9,"X",'MEN'!$D$2:$D$9,"Delegate: First Time")</f>
        <v/>
      </c>
      <c r="J4" s="4">
        <f>COUNTIFS('MEN'!$B$2:$B$9,$A4,'MEN'!$G$2:$G$9,"X",'MEN'!$D$2:$D$9,"Delegate: Second Time")</f>
        <v/>
      </c>
      <c r="K4" s="4">
        <f>COUNTIFS('MEN'!$B$2:$B$9,$A4,'MEN'!$H$2:$H$9,"X",'MEN'!$D$2:$D$9,"Guide")</f>
        <v/>
      </c>
      <c r="L4" s="4">
        <f>COUNTIFS('MEN'!$B$2:$B$9,$A4,'MEN'!$H$2:$H$9,"X",'MEN'!$D$2:$D$9,"Delegate: First Time")</f>
        <v/>
      </c>
      <c r="M4" s="4">
        <f>COUNTIFS('MEN'!$B$2:$B$9,$A4,'MEN'!$H$2:$H$9,"X",'MEN'!$D$2:$D$9,"Delegate: Second Time")</f>
        <v/>
      </c>
      <c r="N4" s="4">
        <f>COUNTIFS('MEN'!$B$2:$B$9,$A4,'MEN'!$I$2:$I$9,"X",'MEN'!$D$2:$D$9,"Guide")</f>
        <v/>
      </c>
      <c r="O4" s="4">
        <f>COUNTIFS('MEN'!$B$2:$B$9,$A4,'MEN'!$I$2:$I$9,"X",'MEN'!$D$2:$D$9,"Delegate: First Time")</f>
        <v/>
      </c>
      <c r="P4" s="4">
        <f>COUNTIFS('MEN'!$B$2:$B$9,$A4,'MEN'!$I$2:$I$9,"X",'MEN'!$D$2:$D$9,"Delegate: Second Time")</f>
        <v/>
      </c>
    </row>
    <row r="7">
      <c r="A7" s="11" t="inlineStr">
        <is>
          <t>Leader</t>
        </is>
      </c>
      <c r="B7" s="1" t="inlineStr">
        <is>
          <t>WEEK 5 DELEGATES</t>
        </is>
      </c>
      <c r="C7" s="13" t="n"/>
      <c r="D7" s="13" t="n"/>
      <c r="E7" s="1" t="inlineStr">
        <is>
          <t>WEEK 6 DELEGATES</t>
        </is>
      </c>
      <c r="F7" s="13" t="n"/>
      <c r="G7" s="13" t="n"/>
      <c r="H7" s="1" t="inlineStr">
        <is>
          <t>WEEK 7 DELEGATES</t>
        </is>
      </c>
      <c r="I7" s="13" t="n"/>
      <c r="J7" s="13" t="n"/>
      <c r="K7" s="1" t="inlineStr">
        <is>
          <t>WEEK 8 DELEGATES</t>
        </is>
      </c>
      <c r="L7" s="13" t="n"/>
      <c r="M7" s="13" t="n"/>
    </row>
    <row r="8">
      <c r="A8" s="10" t="inlineStr">
        <is>
          <t>Leader</t>
        </is>
      </c>
      <c r="B8" s="9" t="inlineStr">
        <is>
          <t>Guides</t>
        </is>
      </c>
      <c r="C8" s="9" t="inlineStr">
        <is>
          <t>First Time</t>
        </is>
      </c>
      <c r="D8" s="9" t="inlineStr">
        <is>
          <t>Second Time</t>
        </is>
      </c>
      <c r="E8" s="9" t="inlineStr">
        <is>
          <t>Guides</t>
        </is>
      </c>
      <c r="F8" s="9" t="inlineStr">
        <is>
          <t>First Time</t>
        </is>
      </c>
      <c r="G8" s="9" t="inlineStr">
        <is>
          <t>Second Time</t>
        </is>
      </c>
      <c r="H8" s="9" t="inlineStr">
        <is>
          <t>Guides</t>
        </is>
      </c>
      <c r="I8" s="9" t="inlineStr">
        <is>
          <t>First Time</t>
        </is>
      </c>
      <c r="J8" s="9" t="inlineStr">
        <is>
          <t>Second Time</t>
        </is>
      </c>
      <c r="K8" s="9" t="inlineStr">
        <is>
          <t>Guides</t>
        </is>
      </c>
      <c r="L8" s="9" t="inlineStr">
        <is>
          <t>First Time</t>
        </is>
      </c>
      <c r="M8" s="9" t="inlineStr">
        <is>
          <t>Second Time</t>
        </is>
      </c>
    </row>
    <row r="9">
      <c r="A9" s="2" t="inlineStr">
        <is>
          <t>ZZTEST John Leader</t>
        </is>
      </c>
      <c r="B9" s="4">
        <f>COUNTIFS('MEN'!$B$2:$B$9,$A9,'MEN'!$J$2:$J$9,"X",'MEN'!$D$2:$D$9,"Guide")</f>
        <v/>
      </c>
      <c r="C9" s="4">
        <f>COUNTIFS('MEN'!$B$2:$B$9,$A9,'MEN'!$J$2:$J$9,"X",'MEN'!$D$2:$D$9,"Delegate: First Time")</f>
        <v/>
      </c>
      <c r="D9" s="4">
        <f>COUNTIFS('MEN'!$B$2:$B$9,$A9,'MEN'!$J$2:$J$9,"X",'MEN'!$D$2:$D$9,"Delegate: Second Time")</f>
        <v/>
      </c>
      <c r="E9" s="4">
        <f>COUNTIFS('MEN'!$B$2:$B$9,$A9,'MEN'!$K$2:$K$9,"X",'MEN'!$D$2:$D$9,"Guide")</f>
        <v/>
      </c>
      <c r="F9" s="4">
        <f>COUNTIFS('MEN'!$B$2:$B$9,$A9,'MEN'!$K$2:$K$9,"X",'MEN'!$D$2:$D$9,"Delegate: First Time")</f>
        <v/>
      </c>
      <c r="G9" s="4">
        <f>COUNTIFS('MEN'!$B$2:$B$9,$A9,'MEN'!$K$2:$K$9,"X",'MEN'!$D$2:$D$9,"Delegate: Second Time")</f>
        <v/>
      </c>
      <c r="H9" s="4">
        <f>COUNTIFS('MEN'!$B$2:$B$9,$A9,'MEN'!$L$2:$L$9,"X",'MEN'!$D$2:$D$9,"Guide")</f>
        <v/>
      </c>
      <c r="I9" s="4">
        <f>COUNTIFS('MEN'!$B$2:$B$9,$A9,'MEN'!$L$2:$L$9,"X",'MEN'!$D$2:$D$9,"Delegate: First Time")</f>
        <v/>
      </c>
      <c r="J9" s="4">
        <f>COUNTIFS('MEN'!$B$2:$B$9,$A9,'MEN'!$L$2:$L$9,"X",'MEN'!$D$2:$D$9,"Delegate: Second Time")</f>
        <v/>
      </c>
      <c r="K9" s="4">
        <f>COUNTIFS('MEN'!$B$2:$B$9,$A9,'MEN'!$M$2:$M$9,"X",'MEN'!$D$2:$D$9,"Guide")</f>
        <v/>
      </c>
      <c r="L9" s="4">
        <f>COUNTIFS('MEN'!$B$2:$B$9,$A9,'MEN'!$M$2:$M$9,"X",'MEN'!$D$2:$D$9,"Delegate: First Time")</f>
        <v/>
      </c>
      <c r="M9" s="4">
        <f>COUNTIFS('MEN'!$B$2:$B$9,$A9,'MEN'!$M$2:$M$9,"X",'MEN'!$D$2:$D$9,"Delegate: Second Time")</f>
        <v/>
      </c>
    </row>
    <row r="10">
      <c r="A10" s="2" t="inlineStr">
        <is>
          <t>ZZTEST Second Leader</t>
        </is>
      </c>
      <c r="B10" s="4">
        <f>COUNTIFS('MEN'!$B$2:$B$9,$A10,'MEN'!$J$2:$J$9,"X",'MEN'!$D$2:$D$9,"Guide")</f>
        <v/>
      </c>
      <c r="C10" s="4">
        <f>COUNTIFS('MEN'!$B$2:$B$9,$A10,'MEN'!$J$2:$J$9,"X",'MEN'!$D$2:$D$9,"Delegate: First Time")</f>
        <v/>
      </c>
      <c r="D10" s="4">
        <f>COUNTIFS('MEN'!$B$2:$B$9,$A10,'MEN'!$J$2:$J$9,"X",'MEN'!$D$2:$D$9,"Delegate: Second Time")</f>
        <v/>
      </c>
      <c r="E10" s="4">
        <f>COUNTIFS('MEN'!$B$2:$B$9,$A10,'MEN'!$K$2:$K$9,"X",'MEN'!$D$2:$D$9,"Guide")</f>
        <v/>
      </c>
      <c r="F10" s="4">
        <f>COUNTIFS('MEN'!$B$2:$B$9,$A10,'MEN'!$K$2:$K$9,"X",'MEN'!$D$2:$D$9,"Delegate: First Time")</f>
        <v/>
      </c>
      <c r="G10" s="4">
        <f>COUNTIFS('MEN'!$B$2:$B$9,$A10,'MEN'!$K$2:$K$9,"X",'MEN'!$D$2:$D$9,"Delegate: Second Time")</f>
        <v/>
      </c>
      <c r="H10" s="4">
        <f>COUNTIFS('MEN'!$B$2:$B$9,$A10,'MEN'!$L$2:$L$9,"X",'MEN'!$D$2:$D$9,"Guide")</f>
        <v/>
      </c>
      <c r="I10" s="4">
        <f>COUNTIFS('MEN'!$B$2:$B$9,$A10,'MEN'!$L$2:$L$9,"X",'MEN'!$D$2:$D$9,"Delegate: First Time")</f>
        <v/>
      </c>
      <c r="J10" s="4">
        <f>COUNTIFS('MEN'!$B$2:$B$9,$A10,'MEN'!$L$2:$L$9,"X",'MEN'!$D$2:$D$9,"Delegate: Second Time")</f>
        <v/>
      </c>
      <c r="K10" s="4">
        <f>COUNTIFS('MEN'!$B$2:$B$9,$A10,'MEN'!$M$2:$M$9,"X",'MEN'!$D$2:$D$9,"Guide")</f>
        <v/>
      </c>
      <c r="L10" s="4">
        <f>COUNTIFS('MEN'!$B$2:$B$9,$A10,'MEN'!$M$2:$M$9,"X",'MEN'!$D$2:$D$9,"Delegate: First Time")</f>
        <v/>
      </c>
      <c r="M10" s="4">
        <f>COUNTIFS('MEN'!$B$2:$B$9,$A10,'MEN'!$M$2:$M$9,"X",'MEN'!$D$2:$D$9,"Delegate: Second Time")</f>
        <v/>
      </c>
    </row>
  </sheetData>
  <mergeCells count="9">
    <mergeCell ref="H1:J1"/>
    <mergeCell ref="B1:D1"/>
    <mergeCell ref="N1:P1"/>
    <mergeCell ref="B7:D7"/>
    <mergeCell ref="E7:G7"/>
    <mergeCell ref="K7:M7"/>
    <mergeCell ref="H7:J7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hidden="1" width="20" customWidth="1" min="15" max="15"/>
  </cols>
  <sheetData>
    <row r="1">
      <c r="A1" s="1" t="inlineStr">
        <is>
          <t>Name</t>
        </is>
      </c>
      <c r="B1" s="1" t="inlineStr">
        <is>
          <t>Leader 12</t>
        </is>
      </c>
      <c r="C1" s="1" t="inlineStr">
        <is>
          <t>Leader at 144</t>
        </is>
      </c>
      <c r="D1" s="1" t="inlineStr">
        <is>
          <t>Registration Type</t>
        </is>
      </c>
      <c r="E1" s="1" t="inlineStr">
        <is>
          <t>WEEK 1</t>
        </is>
      </c>
      <c r="F1" s="1" t="inlineStr">
        <is>
          <t>WEEK 2</t>
        </is>
      </c>
      <c r="G1" s="1" t="inlineStr">
        <is>
          <t>WEEK 3</t>
        </is>
      </c>
      <c r="H1" s="1" t="inlineStr">
        <is>
          <t>WEEK 4</t>
        </is>
      </c>
      <c r="I1" s="1" t="inlineStr">
        <is>
          <t>ENCOUNTER</t>
        </is>
      </c>
      <c r="J1" s="1" t="inlineStr">
        <is>
          <t>WEEK 5</t>
        </is>
      </c>
      <c r="K1" s="1" t="inlineStr">
        <is>
          <t>WEEK 6</t>
        </is>
      </c>
      <c r="L1" s="1" t="inlineStr">
        <is>
          <t>WEEK 7</t>
        </is>
      </c>
      <c r="M1" s="1" t="inlineStr">
        <is>
          <t>WEEK 8</t>
        </is>
      </c>
      <c r="N1" s="1" t="inlineStr">
        <is>
          <t>TOTAL</t>
        </is>
      </c>
      <c r="O1" s="1" t="inlineStr">
        <is>
          <t>Effective Guide</t>
        </is>
      </c>
    </row>
    <row r="2">
      <c r="A2" s="2" t="inlineStr">
        <is>
          <t>ZZTEST Mary Leader</t>
        </is>
      </c>
      <c r="B2" s="2" t="n"/>
      <c r="C2" s="2" t="n"/>
      <c r="D2" s="3" t="inlineStr">
        <is>
          <t>Guide</t>
        </is>
      </c>
      <c r="E2" s="4" t="inlineStr">
        <is>
          <t>X</t>
        </is>
      </c>
      <c r="F2" s="4" t="inlineStr">
        <is>
          <t>X</t>
        </is>
      </c>
      <c r="G2" s="4" t="inlineStr">
        <is>
          <t>X</t>
        </is>
      </c>
      <c r="H2" s="4" t="inlineStr">
        <is>
          <t>X</t>
        </is>
      </c>
      <c r="I2" s="4" t="inlineStr">
        <is>
          <t>X</t>
        </is>
      </c>
      <c r="J2" s="4" t="inlineStr">
        <is>
          <t>X</t>
        </is>
      </c>
      <c r="K2" s="4" t="inlineStr">
        <is>
          <t>X</t>
        </is>
      </c>
      <c r="L2" s="4" t="inlineStr">
        <is>
          <t>X</t>
        </is>
      </c>
      <c r="M2" s="4" t="inlineStr">
        <is>
          <t>X</t>
        </is>
      </c>
      <c r="N2" s="5">
        <f>COUNTIF(E2:M2,"X")</f>
        <v/>
      </c>
      <c r="O2" s="2">
        <f>IF(C2="",B2,C2)</f>
        <v/>
      </c>
    </row>
    <row r="3">
      <c r="A3" s="2" t="inlineStr">
        <is>
          <t>ZZTEST Grace Guide</t>
        </is>
      </c>
      <c r="B3" s="2" t="inlineStr">
        <is>
          <t>ZZTEST Mary Leader</t>
        </is>
      </c>
      <c r="C3" s="2" t="n"/>
      <c r="D3" s="3" t="inlineStr">
        <is>
          <t>Guide</t>
        </is>
      </c>
      <c r="E3" s="4" t="inlineStr">
        <is>
          <t>X</t>
        </is>
      </c>
      <c r="F3" s="4" t="inlineStr">
        <is>
          <t>X</t>
        </is>
      </c>
      <c r="G3" s="4" t="inlineStr">
        <is>
          <t>X</t>
        </is>
      </c>
      <c r="H3" s="4" t="inlineStr">
        <is>
          <t>X</t>
        </is>
      </c>
      <c r="I3" s="4" t="n"/>
      <c r="J3" s="4" t="n"/>
      <c r="K3" s="4" t="n"/>
      <c r="L3" s="4" t="n"/>
      <c r="M3" s="4" t="n"/>
      <c r="N3" s="5">
        <f>COUNTIF(E3:M3,"X")</f>
        <v/>
      </c>
      <c r="O3" s="2">
        <f>IF(C3="",B3,C3)</f>
        <v/>
      </c>
    </row>
    <row r="4">
      <c r="A4" s="2" t="inlineStr">
        <is>
          <t>ZZTEST Sarah Delegate</t>
        </is>
      </c>
      <c r="B4" s="2" t="inlineStr">
        <is>
          <t>ZZTEST Mary Leader</t>
        </is>
      </c>
      <c r="C4" s="2" t="inlineStr">
        <is>
          <t>ZZTEST Grace Guide</t>
        </is>
      </c>
      <c r="D4" s="6" t="inlineStr">
        <is>
          <t>Delegate: First Time</t>
        </is>
      </c>
      <c r="E4" s="4" t="inlineStr">
        <is>
          <t>X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5">
        <f>COUNTIF(E4:M4,"X")</f>
        <v/>
      </c>
      <c r="O4" s="2">
        <f>IF(C4="",B4,C4)</f>
        <v/>
      </c>
    </row>
    <row r="5">
      <c r="A5" s="2" t="inlineStr">
        <is>
          <t>ZZTEST Ruth Delegate</t>
        </is>
      </c>
      <c r="B5" s="2" t="inlineStr">
        <is>
          <t>ZZTEST Mary Leader</t>
        </is>
      </c>
      <c r="C5" s="2" t="inlineStr">
        <is>
          <t>ZZTEST Grace Guide</t>
        </is>
      </c>
      <c r="D5" s="7" t="inlineStr">
        <is>
          <t>Delegate: Second Time</t>
        </is>
      </c>
      <c r="E5" s="4" t="n"/>
      <c r="F5" s="4" t="inlineStr">
        <is>
          <t>X</t>
        </is>
      </c>
      <c r="G5" s="4" t="inlineStr">
        <is>
          <t>X</t>
        </is>
      </c>
      <c r="H5" s="4" t="n"/>
      <c r="I5" s="4" t="n"/>
      <c r="J5" s="4" t="n"/>
      <c r="K5" s="4" t="n"/>
      <c r="L5" s="4" t="n"/>
      <c r="M5" s="4" t="n"/>
      <c r="N5" s="5">
        <f>COUNTIF(E5:M5,"X")</f>
        <v/>
      </c>
      <c r="O5" s="2">
        <f>IF(C5="",B5,C5)</f>
        <v/>
      </c>
    </row>
    <row r="6">
      <c r="D6" s="8" t="inlineStr">
        <is>
          <t>WEEKLY TOTAL</t>
        </is>
      </c>
      <c r="E6" s="9">
        <f>COUNTIF(E2:E5,"X")</f>
        <v/>
      </c>
      <c r="F6" s="9">
        <f>COUNTIF(F2:F5,"X")</f>
        <v/>
      </c>
      <c r="G6" s="9">
        <f>COUNTIF(G2:G5,"X")</f>
        <v/>
      </c>
      <c r="H6" s="9">
        <f>COUNTIF(H2:H5,"X")</f>
        <v/>
      </c>
      <c r="I6" s="9">
        <f>COUNTIF(I2:I5,"X")</f>
        <v/>
      </c>
      <c r="J6" s="9">
        <f>COUNTIF(J2:J5,"X")</f>
        <v/>
      </c>
      <c r="K6" s="9">
        <f>COUNTIF(K2:K5,"X")</f>
        <v/>
      </c>
      <c r="L6" s="9">
        <f>COUNTIF(L2:L5,"X")</f>
        <v/>
      </c>
      <c r="M6" s="9">
        <f>COUNTIF(M2:M5,"X")</f>
        <v/>
      </c>
      <c r="N6" s="10">
        <f>SUM(E6:M6)</f>
        <v/>
      </c>
    </row>
    <row r="9">
      <c r="D9" s="11" t="inlineStr">
        <is>
          <t>LEADER @12 STATS</t>
        </is>
      </c>
    </row>
    <row r="10">
      <c r="D10" s="1" t="inlineStr">
        <is>
          <t>Leader @12</t>
        </is>
      </c>
      <c r="E10" s="1" t="inlineStr">
        <is>
          <t>WEEK 1</t>
        </is>
      </c>
      <c r="F10" s="1" t="inlineStr">
        <is>
          <t>WEEK 2</t>
        </is>
      </c>
      <c r="G10" s="1" t="inlineStr">
        <is>
          <t>WEEK 3</t>
        </is>
      </c>
      <c r="H10" s="1" t="inlineStr">
        <is>
          <t>WEEK 4</t>
        </is>
      </c>
      <c r="I10" s="1" t="inlineStr">
        <is>
          <t>ENCOUNTER</t>
        </is>
      </c>
      <c r="J10" s="1" t="inlineStr">
        <is>
          <t>WEEK 5</t>
        </is>
      </c>
      <c r="K10" s="1" t="inlineStr">
        <is>
          <t>WEEK 6</t>
        </is>
      </c>
      <c r="L10" s="1" t="inlineStr">
        <is>
          <t>WEEK 7</t>
        </is>
      </c>
      <c r="M10" s="1" t="inlineStr">
        <is>
          <t>WEEK 8</t>
        </is>
      </c>
      <c r="N10" s="1" t="inlineStr">
        <is>
          <t>Total</t>
        </is>
      </c>
    </row>
    <row r="11">
      <c r="D11" s="2" t="inlineStr">
        <is>
          <t>ZZTEST Mary Leader</t>
        </is>
      </c>
      <c r="E11" s="4">
        <f>COUNTIFS($B$2:$B$5,$D11,E$2:E$5,"X")</f>
        <v/>
      </c>
      <c r="F11" s="4">
        <f>COUNTIFS($B$2:$B$5,$D11,F$2:F$5,"X")</f>
        <v/>
      </c>
      <c r="G11" s="4">
        <f>COUNTIFS($B$2:$B$5,$D11,G$2:G$5,"X")</f>
        <v/>
      </c>
      <c r="H11" s="4">
        <f>COUNTIFS($B$2:$B$5,$D11,H$2:H$5,"X")</f>
        <v/>
      </c>
      <c r="I11" s="4">
        <f>COUNTIFS($B$2:$B$5,$D11,I$2:I$5,"X")</f>
        <v/>
      </c>
      <c r="J11" s="4">
        <f>COUNTIFS($B$2:$B$5,$D11,J$2:J$5,"X")</f>
        <v/>
      </c>
      <c r="K11" s="4">
        <f>COUNTIFS($B$2:$B$5,$D11,K$2:K$5,"X")</f>
        <v/>
      </c>
      <c r="L11" s="4">
        <f>COUNTIFS($B$2:$B$5,$D11,L$2:L$5,"X")</f>
        <v/>
      </c>
      <c r="M11" s="4">
        <f>COUNTIFS($B$2:$B$5,$D11,M$2:M$5,"X")</f>
        <v/>
      </c>
      <c r="N11" s="12">
        <f>SUM(E11:M11)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Leader</t>
        </is>
      </c>
      <c r="B1" s="1" t="inlineStr">
        <is>
          <t>Guide</t>
        </is>
      </c>
      <c r="C1" s="1" t="inlineStr">
        <is>
          <t>Delegate W1</t>
        </is>
      </c>
      <c r="D1" s="1" t="inlineStr">
        <is>
          <t>Delegate W2</t>
        </is>
      </c>
      <c r="E1" s="1" t="inlineStr">
        <is>
          <t>Delegate W3</t>
        </is>
      </c>
      <c r="F1" s="1" t="inlineStr">
        <is>
          <t>Delegate W4</t>
        </is>
      </c>
      <c r="G1" s="1" t="inlineStr">
        <is>
          <t>ENCOUNTER</t>
        </is>
      </c>
      <c r="H1" s="1" t="inlineStr">
        <is>
          <t>Delegate W5</t>
        </is>
      </c>
      <c r="I1" s="1" t="inlineStr">
        <is>
          <t>Delegate W6</t>
        </is>
      </c>
      <c r="J1" s="1" t="inlineStr">
        <is>
          <t>Delegate W7</t>
        </is>
      </c>
      <c r="K1" s="1" t="inlineStr">
        <is>
          <t>Delegate W8</t>
        </is>
      </c>
    </row>
    <row r="2">
      <c r="A2" s="5" t="inlineStr">
        <is>
          <t>ZZTEST Mary Leader</t>
        </is>
      </c>
      <c r="B2" s="2" t="inlineStr">
        <is>
          <t>ZZTEST Mary Leader</t>
        </is>
      </c>
      <c r="C2" s="4">
        <f>COUNTIFS('WOMEN'!$O$2:$O$5,$B2,'WOMEN'!$E$2:$E$5,"X")</f>
        <v/>
      </c>
      <c r="D2" s="4">
        <f>COUNTIFS('WOMEN'!$O$2:$O$5,$B2,'WOMEN'!$F$2:$F$5,"X")</f>
        <v/>
      </c>
      <c r="E2" s="4">
        <f>COUNTIFS('WOMEN'!$O$2:$O$5,$B2,'WOMEN'!$G$2:$G$5,"X")</f>
        <v/>
      </c>
      <c r="F2" s="4">
        <f>COUNTIFS('WOMEN'!$O$2:$O$5,$B2,'WOMEN'!$H$2:$H$5,"X")</f>
        <v/>
      </c>
      <c r="G2" s="4">
        <f>COUNTIFS('WOMEN'!$O$2:$O$5,$B2,'WOMEN'!$I$2:$I$5,"X")</f>
        <v/>
      </c>
      <c r="H2" s="4">
        <f>COUNTIFS('WOMEN'!$O$2:$O$5,$B2,'WOMEN'!$J$2:$J$5,"X")</f>
        <v/>
      </c>
      <c r="I2" s="4">
        <f>COUNTIFS('WOMEN'!$O$2:$O$5,$B2,'WOMEN'!$K$2:$K$5,"X")</f>
        <v/>
      </c>
      <c r="J2" s="4">
        <f>COUNTIFS('WOMEN'!$O$2:$O$5,$B2,'WOMEN'!$L$2:$L$5,"X")</f>
        <v/>
      </c>
      <c r="K2" s="4">
        <f>COUNTIFS('WOMEN'!$O$2:$O$5,$B2,'WOMEN'!$M$2:$M$5,"X")</f>
        <v/>
      </c>
    </row>
    <row r="3">
      <c r="A3" s="5" t="n"/>
      <c r="B3" s="2" t="inlineStr">
        <is>
          <t>ZZTEST Grace Guide</t>
        </is>
      </c>
      <c r="C3" s="4">
        <f>COUNTIFS('WOMEN'!$O$2:$O$5,$B3,'WOMEN'!$E$2:$E$5,"X")</f>
        <v/>
      </c>
      <c r="D3" s="4">
        <f>COUNTIFS('WOMEN'!$O$2:$O$5,$B3,'WOMEN'!$F$2:$F$5,"X")</f>
        <v/>
      </c>
      <c r="E3" s="4">
        <f>COUNTIFS('WOMEN'!$O$2:$O$5,$B3,'WOMEN'!$G$2:$G$5,"X")</f>
        <v/>
      </c>
      <c r="F3" s="4">
        <f>COUNTIFS('WOMEN'!$O$2:$O$5,$B3,'WOMEN'!$H$2:$H$5,"X")</f>
        <v/>
      </c>
      <c r="G3" s="4">
        <f>COUNTIFS('WOMEN'!$O$2:$O$5,$B3,'WOMEN'!$I$2:$I$5,"X")</f>
        <v/>
      </c>
      <c r="H3" s="4">
        <f>COUNTIFS('WOMEN'!$O$2:$O$5,$B3,'WOMEN'!$J$2:$J$5,"X")</f>
        <v/>
      </c>
      <c r="I3" s="4">
        <f>COUNTIFS('WOMEN'!$O$2:$O$5,$B3,'WOMEN'!$K$2:$K$5,"X")</f>
        <v/>
      </c>
      <c r="J3" s="4">
        <f>COUNTIFS('WOMEN'!$O$2:$O$5,$B3,'WOMEN'!$L$2:$L$5,"X")</f>
        <v/>
      </c>
      <c r="K3" s="4">
        <f>COUNTIFS('WOMEN'!$O$2:$O$5,$B3,'WOMEN'!$M$2:$M$5,"X")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1" t="inlineStr">
        <is>
          <t>Leader</t>
        </is>
      </c>
      <c r="B1" s="1" t="inlineStr">
        <is>
          <t>WEEK 1 DELEGATES</t>
        </is>
      </c>
      <c r="C1" s="13" t="n"/>
      <c r="D1" s="13" t="n"/>
      <c r="E1" s="1" t="inlineStr">
        <is>
          <t>WEEK 2 DELEGATES</t>
        </is>
      </c>
      <c r="F1" s="13" t="n"/>
      <c r="G1" s="13" t="n"/>
      <c r="H1" s="1" t="inlineStr">
        <is>
          <t>WEEK 3 DELEGATES</t>
        </is>
      </c>
      <c r="I1" s="13" t="n"/>
      <c r="J1" s="13" t="n"/>
      <c r="K1" s="1" t="inlineStr">
        <is>
          <t>WEEK 4 DELEGATES</t>
        </is>
      </c>
      <c r="L1" s="13" t="n"/>
      <c r="M1" s="13" t="n"/>
      <c r="N1" s="1" t="inlineStr">
        <is>
          <t>ENCOUNTER DELEGATES</t>
        </is>
      </c>
      <c r="O1" s="13" t="n"/>
      <c r="P1" s="13" t="n"/>
    </row>
    <row r="2">
      <c r="A2" s="10" t="inlineStr">
        <is>
          <t>Leader</t>
        </is>
      </c>
      <c r="B2" s="9" t="inlineStr">
        <is>
          <t>Guides</t>
        </is>
      </c>
      <c r="C2" s="9" t="inlineStr">
        <is>
          <t>First Time</t>
        </is>
      </c>
      <c r="D2" s="9" t="inlineStr">
        <is>
          <t>Second Time</t>
        </is>
      </c>
      <c r="E2" s="9" t="inlineStr">
        <is>
          <t>Guides</t>
        </is>
      </c>
      <c r="F2" s="9" t="inlineStr">
        <is>
          <t>First Time</t>
        </is>
      </c>
      <c r="G2" s="9" t="inlineStr">
        <is>
          <t>Second Time</t>
        </is>
      </c>
      <c r="H2" s="9" t="inlineStr">
        <is>
          <t>Guides</t>
        </is>
      </c>
      <c r="I2" s="9" t="inlineStr">
        <is>
          <t>First Time</t>
        </is>
      </c>
      <c r="J2" s="9" t="inlineStr">
        <is>
          <t>Second Time</t>
        </is>
      </c>
      <c r="K2" s="9" t="inlineStr">
        <is>
          <t>Guides</t>
        </is>
      </c>
      <c r="L2" s="9" t="inlineStr">
        <is>
          <t>First Time</t>
        </is>
      </c>
      <c r="M2" s="9" t="inlineStr">
        <is>
          <t>Second Time</t>
        </is>
      </c>
      <c r="N2" s="9" t="inlineStr">
        <is>
          <t>Guides</t>
        </is>
      </c>
      <c r="O2" s="9" t="inlineStr">
        <is>
          <t>First Time</t>
        </is>
      </c>
      <c r="P2" s="9" t="inlineStr">
        <is>
          <t>Second Time</t>
        </is>
      </c>
    </row>
    <row r="3">
      <c r="A3" s="2" t="inlineStr">
        <is>
          <t>ZZTEST Mary Leader</t>
        </is>
      </c>
      <c r="B3" s="4">
        <f>COUNTIFS('WOMEN'!$B$2:$B$5,$A3,'WOMEN'!$E$2:$E$5,"X",'WOMEN'!$D$2:$D$5,"Guide")</f>
        <v/>
      </c>
      <c r="C3" s="4">
        <f>COUNTIFS('WOMEN'!$B$2:$B$5,$A3,'WOMEN'!$E$2:$E$5,"X",'WOMEN'!$D$2:$D$5,"Delegate: First Time")</f>
        <v/>
      </c>
      <c r="D3" s="4">
        <f>COUNTIFS('WOMEN'!$B$2:$B$5,$A3,'WOMEN'!$E$2:$E$5,"X",'WOMEN'!$D$2:$D$5,"Delegate: Second Time")</f>
        <v/>
      </c>
      <c r="E3" s="4">
        <f>COUNTIFS('WOMEN'!$B$2:$B$5,$A3,'WOMEN'!$F$2:$F$5,"X",'WOMEN'!$D$2:$D$5,"Guide")</f>
        <v/>
      </c>
      <c r="F3" s="4">
        <f>COUNTIFS('WOMEN'!$B$2:$B$5,$A3,'WOMEN'!$F$2:$F$5,"X",'WOMEN'!$D$2:$D$5,"Delegate: First Time")</f>
        <v/>
      </c>
      <c r="G3" s="4">
        <f>COUNTIFS('WOMEN'!$B$2:$B$5,$A3,'WOMEN'!$F$2:$F$5,"X",'WOMEN'!$D$2:$D$5,"Delegate: Second Time")</f>
        <v/>
      </c>
      <c r="H3" s="4">
        <f>COUNTIFS('WOMEN'!$B$2:$B$5,$A3,'WOMEN'!$G$2:$G$5,"X",'WOMEN'!$D$2:$D$5,"Guide")</f>
        <v/>
      </c>
      <c r="I3" s="4">
        <f>COUNTIFS('WOMEN'!$B$2:$B$5,$A3,'WOMEN'!$G$2:$G$5,"X",'WOMEN'!$D$2:$D$5,"Delegate: First Time")</f>
        <v/>
      </c>
      <c r="J3" s="4">
        <f>COUNTIFS('WOMEN'!$B$2:$B$5,$A3,'WOMEN'!$G$2:$G$5,"X",'WOMEN'!$D$2:$D$5,"Delegate: Second Time")</f>
        <v/>
      </c>
      <c r="K3" s="4">
        <f>COUNTIFS('WOMEN'!$B$2:$B$5,$A3,'WOMEN'!$H$2:$H$5,"X",'WOMEN'!$D$2:$D$5,"Guide")</f>
        <v/>
      </c>
      <c r="L3" s="4">
        <f>COUNTIFS('WOMEN'!$B$2:$B$5,$A3,'WOMEN'!$H$2:$H$5,"X",'WOMEN'!$D$2:$D$5,"Delegate: First Time")</f>
        <v/>
      </c>
      <c r="M3" s="4">
        <f>COUNTIFS('WOMEN'!$B$2:$B$5,$A3,'WOMEN'!$H$2:$H$5,"X",'WOMEN'!$D$2:$D$5,"Delegate: Second Time")</f>
        <v/>
      </c>
      <c r="N3" s="4">
        <f>COUNTIFS('WOMEN'!$B$2:$B$5,$A3,'WOMEN'!$I$2:$I$5,"X",'WOMEN'!$D$2:$D$5,"Guide")</f>
        <v/>
      </c>
      <c r="O3" s="4">
        <f>COUNTIFS('WOMEN'!$B$2:$B$5,$A3,'WOMEN'!$I$2:$I$5,"X",'WOMEN'!$D$2:$D$5,"Delegate: First Time")</f>
        <v/>
      </c>
      <c r="P3" s="4">
        <f>COUNTIFS('WOMEN'!$B$2:$B$5,$A3,'WOMEN'!$I$2:$I$5,"X",'WOMEN'!$D$2:$D$5,"Delegate: Second Time")</f>
        <v/>
      </c>
    </row>
    <row r="6">
      <c r="A6" s="11" t="inlineStr">
        <is>
          <t>Leader</t>
        </is>
      </c>
      <c r="B6" s="1" t="inlineStr">
        <is>
          <t>WEEK 5 DELEGATES</t>
        </is>
      </c>
      <c r="C6" s="13" t="n"/>
      <c r="D6" s="13" t="n"/>
      <c r="E6" s="1" t="inlineStr">
        <is>
          <t>WEEK 6 DELEGATES</t>
        </is>
      </c>
      <c r="F6" s="13" t="n"/>
      <c r="G6" s="13" t="n"/>
      <c r="H6" s="1" t="inlineStr">
        <is>
          <t>WEEK 7 DELEGATES</t>
        </is>
      </c>
      <c r="I6" s="13" t="n"/>
      <c r="J6" s="13" t="n"/>
      <c r="K6" s="1" t="inlineStr">
        <is>
          <t>WEEK 8 DELEGATES</t>
        </is>
      </c>
      <c r="L6" s="13" t="n"/>
      <c r="M6" s="13" t="n"/>
    </row>
    <row r="7">
      <c r="A7" s="10" t="inlineStr">
        <is>
          <t>Leader</t>
        </is>
      </c>
      <c r="B7" s="9" t="inlineStr">
        <is>
          <t>Guides</t>
        </is>
      </c>
      <c r="C7" s="9" t="inlineStr">
        <is>
          <t>First Time</t>
        </is>
      </c>
      <c r="D7" s="9" t="inlineStr">
        <is>
          <t>Second Time</t>
        </is>
      </c>
      <c r="E7" s="9" t="inlineStr">
        <is>
          <t>Guides</t>
        </is>
      </c>
      <c r="F7" s="9" t="inlineStr">
        <is>
          <t>First Time</t>
        </is>
      </c>
      <c r="G7" s="9" t="inlineStr">
        <is>
          <t>Second Time</t>
        </is>
      </c>
      <c r="H7" s="9" t="inlineStr">
        <is>
          <t>Guides</t>
        </is>
      </c>
      <c r="I7" s="9" t="inlineStr">
        <is>
          <t>First Time</t>
        </is>
      </c>
      <c r="J7" s="9" t="inlineStr">
        <is>
          <t>Second Time</t>
        </is>
      </c>
      <c r="K7" s="9" t="inlineStr">
        <is>
          <t>Guides</t>
        </is>
      </c>
      <c r="L7" s="9" t="inlineStr">
        <is>
          <t>First Time</t>
        </is>
      </c>
      <c r="M7" s="9" t="inlineStr">
        <is>
          <t>Second Time</t>
        </is>
      </c>
    </row>
    <row r="8">
      <c r="A8" s="2" t="inlineStr">
        <is>
          <t>ZZTEST Mary Leader</t>
        </is>
      </c>
      <c r="B8" s="4">
        <f>COUNTIFS('WOMEN'!$B$2:$B$5,$A8,'WOMEN'!$J$2:$J$5,"X",'WOMEN'!$D$2:$D$5,"Guide")</f>
        <v/>
      </c>
      <c r="C8" s="4">
        <f>COUNTIFS('WOMEN'!$B$2:$B$5,$A8,'WOMEN'!$J$2:$J$5,"X",'WOMEN'!$D$2:$D$5,"Delegate: First Time")</f>
        <v/>
      </c>
      <c r="D8" s="4">
        <f>COUNTIFS('WOMEN'!$B$2:$B$5,$A8,'WOMEN'!$J$2:$J$5,"X",'WOMEN'!$D$2:$D$5,"Delegate: Second Time")</f>
        <v/>
      </c>
      <c r="E8" s="4">
        <f>COUNTIFS('WOMEN'!$B$2:$B$5,$A8,'WOMEN'!$K$2:$K$5,"X",'WOMEN'!$D$2:$D$5,"Guide")</f>
        <v/>
      </c>
      <c r="F8" s="4">
        <f>COUNTIFS('WOMEN'!$B$2:$B$5,$A8,'WOMEN'!$K$2:$K$5,"X",'WOMEN'!$D$2:$D$5,"Delegate: First Time")</f>
        <v/>
      </c>
      <c r="G8" s="4">
        <f>COUNTIFS('WOMEN'!$B$2:$B$5,$A8,'WOMEN'!$K$2:$K$5,"X",'WOMEN'!$D$2:$D$5,"Delegate: Second Time")</f>
        <v/>
      </c>
      <c r="H8" s="4">
        <f>COUNTIFS('WOMEN'!$B$2:$B$5,$A8,'WOMEN'!$L$2:$L$5,"X",'WOMEN'!$D$2:$D$5,"Guide")</f>
        <v/>
      </c>
      <c r="I8" s="4">
        <f>COUNTIFS('WOMEN'!$B$2:$B$5,$A8,'WOMEN'!$L$2:$L$5,"X",'WOMEN'!$D$2:$D$5,"Delegate: First Time")</f>
        <v/>
      </c>
      <c r="J8" s="4">
        <f>COUNTIFS('WOMEN'!$B$2:$B$5,$A8,'WOMEN'!$L$2:$L$5,"X",'WOMEN'!$D$2:$D$5,"Delegate: Second Time")</f>
        <v/>
      </c>
      <c r="K8" s="4">
        <f>COUNTIFS('WOMEN'!$B$2:$B$5,$A8,'WOMEN'!$M$2:$M$5,"X",'WOMEN'!$D$2:$D$5,"Guide")</f>
        <v/>
      </c>
      <c r="L8" s="4">
        <f>COUNTIFS('WOMEN'!$B$2:$B$5,$A8,'WOMEN'!$M$2:$M$5,"X",'WOMEN'!$D$2:$D$5,"Delegate: First Time")</f>
        <v/>
      </c>
      <c r="M8" s="4">
        <f>COUNTIFS('WOMEN'!$B$2:$B$5,$A8,'WOMEN'!$M$2:$M$5,"X",'WOMEN'!$D$2:$D$5,"Delegate: Second Time")</f>
        <v/>
      </c>
    </row>
  </sheetData>
  <mergeCells count="9">
    <mergeCell ref="H1:J1"/>
    <mergeCell ref="H6:J6"/>
    <mergeCell ref="K6:M6"/>
    <mergeCell ref="B1:D1"/>
    <mergeCell ref="N1:P1"/>
    <mergeCell ref="B6:D6"/>
    <mergeCell ref="E6:G6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2026-09-18T11:23:25Z</dcterms:created>
  <dcterms:modified xsi:type="dcterms:W3CDTF">2026-09-18T11:23:26Z</dcterms:modified>
</cp:coreProperties>
</file>